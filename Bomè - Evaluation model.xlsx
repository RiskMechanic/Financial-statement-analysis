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a" sheetId="1" r:id="rId4"/>
    <sheet state="visible" name="case" sheetId="2" r:id="rId5"/>
    <sheet state="visible" name="RC" sheetId="3" r:id="rId6"/>
    <sheet state="visible" name="RF" sheetId="4" r:id="rId7"/>
    <sheet state="visible" name="ind" sheetId="5" r:id="rId8"/>
    <sheet state="visible" name="grph" sheetId="6" r:id="rId9"/>
  </sheets>
  <definedNames/>
  <calcPr/>
  <extLst>
    <ext uri="GoogleSheetsCustomDataVersion2">
      <go:sheetsCustomData xmlns:go="http://customooxmlschemas.google.com/" r:id="rId10" roundtripDataChecksum="uGgah5Qz574w9j7e5/J/LuNOBRFZJUXqVktIBjZUl/U="/>
    </ext>
  </extLst>
</workbook>
</file>

<file path=xl/sharedStrings.xml><?xml version="1.0" encoding="utf-8"?>
<sst xmlns="http://schemas.openxmlformats.org/spreadsheetml/2006/main" count="838" uniqueCount="615">
  <si>
    <t>Anno</t>
  </si>
  <si>
    <t>31/12/2024</t>
  </si>
  <si>
    <t>31/12/2023</t>
  </si>
  <si>
    <t>31/12/2022</t>
  </si>
  <si>
    <t>31/12/2021</t>
  </si>
  <si>
    <t>31/12/2020</t>
  </si>
  <si>
    <t>31/12/2019</t>
  </si>
  <si>
    <t>31/12/2018</t>
  </si>
  <si>
    <t>31/12/2017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</si>
  <si>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</si>
  <si>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</si>
  <si>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</si>
  <si>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</si>
  <si>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</si>
  <si>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</si>
  <si>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</si>
  <si>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</si>
  <si>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</si>
  <si>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</si>
  <si>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</si>
  <si>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</si>
  <si>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</si>
  <si>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</si>
  <si>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</si>
  <si>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</si>
  <si>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</si>
  <si>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</si>
  <si>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</si>
  <si>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</si>
  <si>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</si>
  <si>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</si>
  <si>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</si>
  <si>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</si>
  <si>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</si>
  <si>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</si>
  <si>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</si>
  <si>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</si>
  <si>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</si>
  <si>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</si>
  <si>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</si>
  <si>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</si>
  <si>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</si>
  <si>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</si>
  <si>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</si>
  <si>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</si>
  <si>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</si>
  <si>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</si>
  <si>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</si>
  <si>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</si>
  <si>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</si>
  <si>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</si>
  <si>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</si>
  <si>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</si>
  <si>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</si>
  <si>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</si>
  <si>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</si>
  <si>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</si>
  <si>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</si>
  <si>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</si>
  <si>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</si>
  <si>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</si>
  <si>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</si>
  <si>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</si>
  <si>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</si>
  <si>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</si>
  <si>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</si>
  <si>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</si>
  <si>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</si>
  <si>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</si>
  <si>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</si>
  <si>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</si>
  <si>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</si>
  <si>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</si>
  <si>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</si>
  <si>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</si>
  <si>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</si>
  <si>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</si>
  <si>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</si>
  <si>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</si>
  <si>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</si>
  <si>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</si>
  <si>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</si>
  <si>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</si>
  <si>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</si>
  <si>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</si>
  <si>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</si>
  <si>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</si>
  <si>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</si>
  <si>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</si>
  <si>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</si>
  <si>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</si>
  <si>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</si>
  <si>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</si>
  <si>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</si>
  <si>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</si>
  <si>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</si>
  <si>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</si>
  <si>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</si>
  <si>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</si>
  <si>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</si>
  <si>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</si>
  <si>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</si>
  <si>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</si>
  <si>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</si>
  <si>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</si>
  <si>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</si>
  <si>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</si>
  <si>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</si>
  <si>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</si>
  <si>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</si>
  <si>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</si>
  <si>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</si>
  <si>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</si>
  <si>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</si>
  <si>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</si>
  <si>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</si>
  <si>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</si>
  <si>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</si>
  <si>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</si>
  <si>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</si>
  <si>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</si>
  <si>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</si>
  <si>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</si>
  <si>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</si>
  <si>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</si>
  <si>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</si>
  <si>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</si>
  <si>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</si>
  <si>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</si>
  <si>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</si>
  <si>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</si>
  <si>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</si>
  <si>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</si>
  <si>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</si>
  <si>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</si>
  <si>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</si>
  <si>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</si>
  <si>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</si>
  <si>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</si>
  <si>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</si>
  <si>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</si>
  <si>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</si>
  <si>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</si>
  <si>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</si>
  <si>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</si>
  <si>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</si>
  <si>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</si>
  <si>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</si>
  <si>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</si>
  <si>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</si>
  <si>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</si>
  <si>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</si>
  <si>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</si>
  <si>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</si>
  <si>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</si>
  <si>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</si>
  <si>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</si>
  <si>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</si>
  <si>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</si>
  <si>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</si>
  <si>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</si>
  <si>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</si>
  <si>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</si>
  <si>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</si>
  <si>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</si>
  <si>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</si>
  <si>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</si>
  <si>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</si>
  <si>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</si>
  <si>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</si>
  <si>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</si>
  <si>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</si>
  <si>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</si>
  <si>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</si>
  <si>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</si>
  <si>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</si>
  <si>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</si>
  <si>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</si>
  <si>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</si>
  <si>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</si>
  <si>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</si>
  <si>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</si>
  <si>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</si>
  <si>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</si>
  <si>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</si>
  <si>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</si>
  <si>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</si>
  <si>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</si>
  <si>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</si>
  <si>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</si>
  <si>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</si>
  <si>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</si>
  <si>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</si>
  <si>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</si>
  <si>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</si>
  <si>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</si>
  <si>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</si>
  <si>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</si>
  <si>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</si>
  <si>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</si>
  <si>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</si>
  <si>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</si>
  <si>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</si>
  <si>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</si>
  <si>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</si>
  <si>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</si>
  <si>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</si>
  <si>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</si>
  <si>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</si>
  <si>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</si>
  <si>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</si>
  <si>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</si>
  <si>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</si>
  <si>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</si>
  <si>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</si>
  <si>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</si>
  <si>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</si>
  <si>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</si>
  <si>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</si>
  <si>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</si>
  <si>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</si>
  <si>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</si>
  <si>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</si>
  <si>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</si>
  <si>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</si>
  <si>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</si>
  <si>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</si>
  <si>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</si>
  <si>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</si>
  <si>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</si>
  <si>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</si>
  <si>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</si>
  <si>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</si>
  <si>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</si>
  <si>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</si>
  <si>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</si>
  <si>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</si>
  <si>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</si>
  <si>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</si>
  <si>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</si>
  <si>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</si>
  <si>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</si>
  <si>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</si>
  <si>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</si>
  <si>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</si>
  <si>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</si>
  <si>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</si>
  <si>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</si>
  <si>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BOME' S.P.A.</t>
  </si>
  <si>
    <t>00369120225</t>
  </si>
  <si>
    <t>SP attivo</t>
  </si>
  <si>
    <t>Segno</t>
  </si>
  <si>
    <t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</si>
  <si>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</si>
  <si>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</si>
  <si>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</si>
  <si>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</si>
  <si>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</si>
  <si>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</si>
  <si>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Immobilizzazioni extra-operative</t>
  </si>
  <si>
    <t xml:space="preserve">      Crediti diversi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</si>
  <si>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</si>
  <si>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</si>
  <si>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</si>
  <si>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</si>
  <si>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</si>
  <si>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Strumenti derivati attivi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</si>
  <si>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</si>
  <si>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</si>
  <si>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</si>
  <si>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</si>
  <si>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</si>
  <si>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</si>
  <si>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</si>
  <si>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</si>
  <si>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</si>
  <si>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</si>
  <si>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breve termine</t>
  </si>
  <si>
    <t xml:space="preserve">   Debiti strutturali a m/l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</si>
  <si>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</si>
  <si>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</si>
  <si>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</si>
  <si>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</si>
  <si>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</si>
  <si>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</si>
  <si>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</si>
  <si>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</si>
  <si>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</si>
  <si>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</si>
  <si>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</si>
  <si>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</si>
  <si>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</si>
  <si>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</si>
  <si>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</si>
  <si>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</si>
  <si>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</si>
  <si>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</si>
  <si>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</si>
  <si>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</si>
  <si>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</si>
  <si>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</si>
  <si>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</si>
  <si>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>− Imposte</t>
  </si>
  <si>
    <t>Stato Patrimoniale Attivo</t>
  </si>
  <si>
    <t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</si>
  <si>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</si>
  <si>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</si>
  <si>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</si>
  <si>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</si>
  <si>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</si>
  <si>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</si>
  <si>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</si>
  <si>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>Attività fiscali</t>
  </si>
  <si>
    <t xml:space="preserve">   Totale attività fiscali</t>
  </si>
  <si>
    <t>Attività accessorie</t>
  </si>
  <si>
    <t xml:space="preserve">   Totale attività accessorie</t>
  </si>
  <si>
    <t>Attività finanziarie</t>
  </si>
  <si>
    <t xml:space="preserve">   Riserve strategiche di liquidità</t>
  </si>
  <si>
    <t xml:space="preserve">   Totale attività finanziarie</t>
  </si>
  <si>
    <t>Totale attivo</t>
  </si>
  <si>
    <t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</si>
  <si>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</si>
  <si>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</si>
  <si>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</si>
  <si>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>Stato Patrimoniale Passivo</t>
  </si>
  <si>
    <t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</si>
  <si>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</si>
  <si>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</si>
  <si>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</si>
  <si>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</si>
  <si>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</si>
  <si>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</si>
  <si>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>Passività fiscali e fondi</t>
  </si>
  <si>
    <t xml:space="preserve">   Totale passività fiscali e fondi</t>
  </si>
  <si>
    <t>Passività accessorie</t>
  </si>
  <si>
    <t xml:space="preserve">   Totale passività accessorie</t>
  </si>
  <si>
    <t>Passività finanziarie</t>
  </si>
  <si>
    <t xml:space="preserve">   Debiti di tesoreria</t>
  </si>
  <si>
    <t xml:space="preserve">   Totale passività finanziarie</t>
  </si>
  <si>
    <t>Capitale proprio</t>
  </si>
  <si>
    <t xml:space="preserve">   Capitale netto</t>
  </si>
  <si>
    <t xml:space="preserve">   Totale capitale proprio</t>
  </si>
  <si>
    <t>Totale passivo</t>
  </si>
  <si>
    <t>diff da AIDA</t>
  </si>
  <si>
    <t>Check Tot.Attivo - Tot.Passivo</t>
  </si>
  <si>
    <t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</si>
  <si>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</si>
  <si>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</si>
  <si>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</si>
  <si>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</si>
  <si>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</si>
  <si>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</si>
  <si>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>CCON</t>
  </si>
  <si>
    <t>AON -&gt;</t>
  </si>
  <si>
    <t>debito netto, se neg è liq netta -&gt;</t>
  </si>
  <si>
    <t>AON*+ att.gestione accessoria</t>
  </si>
  <si>
    <t>capitale proprio + debito netto</t>
  </si>
  <si>
    <t>Relazione fonti/impieghi</t>
  </si>
  <si>
    <t>Conto Economico</t>
  </si>
  <si>
    <t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</si>
  <si>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</si>
  <si>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</si>
  <si>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</si>
  <si>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</si>
  <si>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</si>
  <si>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</si>
  <si>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</si>
  <si>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</si>
  <si>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>reddito operativo AIDA</t>
  </si>
  <si>
    <t>Check reddito operativo AIDA</t>
  </si>
  <si>
    <t>Gestione finanziaria</t>
  </si>
  <si>
    <t xml:space="preserve">   = (E) +/− Proventi/Oneri finanziari netti</t>
  </si>
  <si>
    <t xml:space="preserve">   = (D+E) Reddito lordo pre gestione accessoria, straordinaria</t>
  </si>
  <si>
    <t>Gestione accessoria e straordinaria</t>
  </si>
  <si>
    <t xml:space="preserve">   = (F) +/− Reddito gestioni accessoria e straordinaria</t>
  </si>
  <si>
    <t>= (D+E+F) reddito lordo</t>
  </si>
  <si>
    <t>= Reddito netto</t>
  </si>
  <si>
    <t>Check reddito netto</t>
  </si>
  <si>
    <t xml:space="preserve">  Reddito netto.civ – Reddito netto.ricl</t>
  </si>
  <si>
    <t xml:space="preserve">  Reddito CE - Reddito in SPP</t>
  </si>
  <si>
    <t>Imposta teorica</t>
  </si>
  <si>
    <t>Risparmio fiscale su interessi netti</t>
  </si>
  <si>
    <t>Rendiconto finanziario</t>
  </si>
  <si>
    <t>Flussi di cassa della gestione operativa e accessoria</t>
  </si>
  <si>
    <t xml:space="preserve">    Flussi di cassa della gestione operativa corrente</t>
  </si>
  <si>
    <t>+</t>
  </si>
  <si>
    <t xml:space="preserve">        Reddito operativo</t>
  </si>
  <si>
    <t>±</t>
  </si>
  <si>
    <t xml:space="preserve">        Reddito gestioni accessoria e straordinaria</t>
  </si>
  <si>
    <t xml:space="preserve">        Riaggiunta ammortamenti</t>
  </si>
  <si>
    <t>-</t>
  </si>
  <si>
    <t xml:space="preserve">        (Imposte + Risparmio fiscale interessi netti)</t>
  </si>
  <si>
    <t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</si>
  <si>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</si>
  <si>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</si>
  <si>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</si>
  <si>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</si>
  <si>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</si>
  <si>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</si>
  <si>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</si>
  <si>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</si>
  <si>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</si>
  <si>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</si>
  <si>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</si>
  <si>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</si>
  <si>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</si>
  <si>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</si>
  <si>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</si>
  <si>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</si>
  <si>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</si>
  <si>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</si>
  <si>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>FCFF</t>
  </si>
  <si>
    <t xml:space="preserve">        (Aumento) diminuzione attività accessorie</t>
  </si>
  <si>
    <t>FCFE</t>
  </si>
  <si>
    <t xml:space="preserve">        Aumento (diminuzione) debiti vs controllate e collegate</t>
  </si>
  <si>
    <t>FCCP</t>
  </si>
  <si>
    <t xml:space="preserve">        (Ammortamenti)</t>
  </si>
  <si>
    <t>NCF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</si>
  <si>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</si>
  <si>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</si>
  <si>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</si>
  <si>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</si>
  <si>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</si>
  <si>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</si>
  <si>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</si>
  <si>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</si>
  <si>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</si>
  <si>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</si>
  <si>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</si>
  <si>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</si>
  <si>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</si>
  <si>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</si>
  <si>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</si>
  <si>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</si>
  <si>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</si>
  <si>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</si>
  <si>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</si>
  <si>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</si>
  <si>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>Flusso di cassa netto (NCF)</t>
  </si>
  <si>
    <t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</si>
  <si>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</si>
  <si>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</si>
  <si>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</si>
  <si>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</si>
  <si>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</si>
  <si>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>Check FCFF</t>
  </si>
  <si>
    <t xml:space="preserve">    EBITDA al netto delle imposte check</t>
  </si>
  <si>
    <t xml:space="preserve">    -Ammortamenti check</t>
  </si>
  <si>
    <t xml:space="preserve">    - Var (AON* + Att acc - Deb contr coll - Ris riv.) check</t>
  </si>
  <si>
    <t xml:space="preserve">    = Risultato</t>
  </si>
  <si>
    <t xml:space="preserve">    = FCFF ceck</t>
  </si>
  <si>
    <t xml:space="preserve">    Sbilancio check FCFF</t>
  </si>
  <si>
    <t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</si>
  <si>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</si>
  <si>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</si>
  <si>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</si>
  <si>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= FCFE check</t>
  </si>
  <si>
    <t xml:space="preserve">    Sbilancio check FCFE</t>
  </si>
  <si>
    <t>INDICATORI FINANZIARI</t>
  </si>
  <si>
    <t>valori patrimoniali medie t-1 per attenuare variazioni significativi</t>
  </si>
  <si>
    <t>RLA (redd. gest OFA)</t>
  </si>
  <si>
    <t>Reddito operativo</t>
  </si>
  <si>
    <t>EBITDA(MOL)</t>
  </si>
  <si>
    <t>Reddito netto</t>
  </si>
  <si>
    <t>Ricavi</t>
  </si>
  <si>
    <t>Ricavi t-1</t>
  </si>
  <si>
    <t>Ricavi con IVA gg</t>
  </si>
  <si>
    <t>Acquisti</t>
  </si>
  <si>
    <t>Acquisti con IVA gg</t>
  </si>
  <si>
    <t>Costo del venduto gg medio</t>
  </si>
  <si>
    <t>Costo del personale gg medio</t>
  </si>
  <si>
    <t>AON* medio</t>
  </si>
  <si>
    <t>AON* init</t>
  </si>
  <si>
    <t>AON* fin</t>
  </si>
  <si>
    <t>Reddito att.acc (prov-oneri acc)</t>
  </si>
  <si>
    <t>AACCN media(ris gest acc)</t>
  </si>
  <si>
    <t>AACC medie(solo attività)</t>
  </si>
  <si>
    <t>AACC finali</t>
  </si>
  <si>
    <t>PACC medie (solo passivo)</t>
  </si>
  <si>
    <t>PACC finali (solo passivo)</t>
  </si>
  <si>
    <t>ris gest str</t>
  </si>
  <si>
    <t>PFN (ris gest fin)</t>
  </si>
  <si>
    <t>DEBn</t>
  </si>
  <si>
    <t>LIQn</t>
  </si>
  <si>
    <t>oneri finanziari</t>
  </si>
  <si>
    <t>interessi attivi</t>
  </si>
  <si>
    <t>imposta</t>
  </si>
  <si>
    <t>Debito lordo medio(pass. gest. fin)</t>
  </si>
  <si>
    <t>Liq. lorda media(att. gest fin)</t>
  </si>
  <si>
    <t>Crediti commerciali medi</t>
  </si>
  <si>
    <t>Debiti commerciali medi</t>
  </si>
  <si>
    <t>Rimanenze magazzino medie</t>
  </si>
  <si>
    <t>Rimanenze magazzino finali</t>
  </si>
  <si>
    <t>Attività a BT</t>
  </si>
  <si>
    <t>Attività a BT finali</t>
  </si>
  <si>
    <t>Passività a BT medie</t>
  </si>
  <si>
    <t>Passività a BT finali</t>
  </si>
  <si>
    <t>Passività operative consolidate medie</t>
  </si>
  <si>
    <t>Passività operative consolidate finali</t>
  </si>
  <si>
    <t>debiti strutturali m/l medi</t>
  </si>
  <si>
    <t>debiti strutturali m/l finali</t>
  </si>
  <si>
    <t>immobilizzazioni operative</t>
  </si>
  <si>
    <t>immobilizzazioni operative finali</t>
  </si>
  <si>
    <t>CP capitale proprio medio</t>
  </si>
  <si>
    <t>CP init</t>
  </si>
  <si>
    <t>CP fin</t>
  </si>
  <si>
    <t>DIV t</t>
  </si>
  <si>
    <t>Aumento finanziamenti netti da soci e controllanti t e t-1</t>
  </si>
  <si>
    <t>Aumento accantonamenti e perdite precedenti (se neg aumento utile)</t>
  </si>
  <si>
    <t>var reddito di esercizio</t>
  </si>
  <si>
    <t>var CPn</t>
  </si>
  <si>
    <t>Quozienti di redditività</t>
  </si>
  <si>
    <t>/Ricavi</t>
  </si>
  <si>
    <t>ROS</t>
  </si>
  <si>
    <t>/AON*</t>
  </si>
  <si>
    <t>ROI</t>
  </si>
  <si>
    <t>Oneri finanziari</t>
  </si>
  <si>
    <t>/Debito lordo</t>
  </si>
  <si>
    <t>ROD</t>
  </si>
  <si>
    <t>Interessi attivi</t>
  </si>
  <si>
    <t>/Liquidità lorda</t>
  </si>
  <si>
    <t>ROL</t>
  </si>
  <si>
    <t>Reddittività att.acc</t>
  </si>
  <si>
    <t>/AACCn</t>
  </si>
  <si>
    <t>ROAACC</t>
  </si>
  <si>
    <t>/CP</t>
  </si>
  <si>
    <t>ROE netto</t>
  </si>
  <si>
    <t>RLA</t>
  </si>
  <si>
    <t>ROE lordo</t>
  </si>
  <si>
    <t>Prima scomposizione ROE lordo:</t>
  </si>
  <si>
    <t>+effetto Leva finanziaria</t>
  </si>
  <si>
    <t>+effetto Liquidità</t>
  </si>
  <si>
    <t>+effetto Attività accessorie</t>
  </si>
  <si>
    <t>Seconda scomposizione ROE lordo:</t>
  </si>
  <si>
    <t>+rendimento AON*</t>
  </si>
  <si>
    <t>+effetto costo del debito</t>
  </si>
  <si>
    <t>+rendimento liquidità</t>
  </si>
  <si>
    <t>+rendimento att.accessorie</t>
  </si>
  <si>
    <t>check ROE lordo 1:</t>
  </si>
  <si>
    <t>check ROE lordo 2:</t>
  </si>
  <si>
    <t>Da lordo a netto:</t>
  </si>
  <si>
    <t>x (RLA+ris str)/RLA</t>
  </si>
  <si>
    <t>x (RL+tax)/RL</t>
  </si>
  <si>
    <t>'= Reddito netto/CP check</t>
  </si>
  <si>
    <t>check ROE netto</t>
  </si>
  <si>
    <t>Quozienti di rotazione dell'attivo netto</t>
  </si>
  <si>
    <t>/Ricavi con IVA gg</t>
  </si>
  <si>
    <t>Tempo medio di incasso</t>
  </si>
  <si>
    <t>/Acquisti con IVA gg</t>
  </si>
  <si>
    <t>Tempo medio di pagamento</t>
  </si>
  <si>
    <t>rim. magazzino medie</t>
  </si>
  <si>
    <t>/(costo del venduto gg medio</t>
  </si>
  <si>
    <t>+costo del personale gg medio)</t>
  </si>
  <si>
    <t>Tempo medio di giacenza in magazzino</t>
  </si>
  <si>
    <t>/rim. magazzino medie</t>
  </si>
  <si>
    <t>Rotazione del magazzino</t>
  </si>
  <si>
    <t>/AON medie</t>
  </si>
  <si>
    <t>Rotazione AON</t>
  </si>
  <si>
    <t>/AON* medie</t>
  </si>
  <si>
    <t>Rotazione AON*</t>
  </si>
  <si>
    <t>/ROS</t>
  </si>
  <si>
    <t>check Rotazione AON*</t>
  </si>
  <si>
    <t>Quozienti di liquidità ed equilibrio fonti/impieghi</t>
  </si>
  <si>
    <t>Attività a breve</t>
  </si>
  <si>
    <t>/Passività a breve</t>
  </si>
  <si>
    <t>Indice di liquidità</t>
  </si>
  <si>
    <t>Attività a breve - scorte in magazzino</t>
  </si>
  <si>
    <t>/Passivita a breve</t>
  </si>
  <si>
    <t>Indice di liquidità immediata</t>
  </si>
  <si>
    <t>CP</t>
  </si>
  <si>
    <t>-(imm.operative+AACC)</t>
  </si>
  <si>
    <t>Margine di struttura: primo livello</t>
  </si>
  <si>
    <t>+(pass. operative lungo + pass. gest acc + debiti strutt. m/l)</t>
  </si>
  <si>
    <t>Margine di struttura: secondo livello</t>
  </si>
  <si>
    <t>Quozienti di sviluppo e impiego</t>
  </si>
  <si>
    <t>ΔAON*</t>
  </si>
  <si>
    <t>/AON*t-1</t>
  </si>
  <si>
    <t>Tasso di sviluppo AON*</t>
  </si>
  <si>
    <t>ΔCP</t>
  </si>
  <si>
    <t>/CP t-1</t>
  </si>
  <si>
    <t>Tasso di sviluppo CP</t>
  </si>
  <si>
    <t>ΔDEBn = ΔAON* - ΔCP</t>
  </si>
  <si>
    <t>ΔDEBn</t>
  </si>
  <si>
    <t>/ΔCP</t>
  </si>
  <si>
    <t>Indice di leva finanziaria</t>
  </si>
  <si>
    <t>sviluppo AON* - sviluppo CP</t>
  </si>
  <si>
    <t>Scomposizione sviluppo AON*</t>
  </si>
  <si>
    <t>Sviluppo dei ricavi = ΔRIC/RIC[t-1]</t>
  </si>
  <si>
    <t>x Intensità di capitale incrementale = ΔAON* / ΔRIC</t>
  </si>
  <si>
    <t>x Rotazione AON* iniziale = RIC[t-1]/AON*[t-1]</t>
  </si>
  <si>
    <t>Sviluppo AON*</t>
  </si>
  <si>
    <t>check ΔAON*/AON*[t-1]</t>
  </si>
  <si>
    <t>check</t>
  </si>
  <si>
    <t>Scomposizione sviluppo CP</t>
  </si>
  <si>
    <t>ROE su CPinit = RN/CP[t-1]</t>
  </si>
  <si>
    <t>Payout ratio = DIV/RN</t>
  </si>
  <si>
    <t>Crescita per utili non distribuiti = ROE*(1-DIV/RN)</t>
  </si>
  <si>
    <t>Incidenza dCAP su RN = dCAP/RN</t>
  </si>
  <si>
    <t>Sviluppo CP</t>
  </si>
  <si>
    <t>check ΔCP/CP[t-1]</t>
  </si>
  <si>
    <t>Grado di indebitamento</t>
  </si>
  <si>
    <t>DEBN (-LIQN) finale</t>
  </si>
  <si>
    <t>/CP finale</t>
  </si>
  <si>
    <t>Grado di indebitamento su CP</t>
  </si>
  <si>
    <t>ΔDEBN (-LIQN)/CP (finali)</t>
  </si>
  <si>
    <t>Sviluppo AON* - Sviluppo CP</t>
  </si>
  <si>
    <t>Sviluppo AACCN</t>
  </si>
  <si>
    <t>ΔAACCN[t-1]</t>
  </si>
  <si>
    <t>/AACCN[t-1]</t>
  </si>
  <si>
    <t>Indicatori di robustezza</t>
  </si>
  <si>
    <t>/Oneri finanziari</t>
  </si>
  <si>
    <t>Copertura economica degli interessi</t>
  </si>
  <si>
    <t>Debito netto</t>
  </si>
  <si>
    <t>/EBITDA(MoL)</t>
  </si>
  <si>
    <t>Tempo di recupero del debito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</si>
</sst>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&quot; €&quot;_-;\-* #,##0.00&quot; €&quot;_-;_-* \-??&quot; €&quot;_-;_-@"/>
    <numFmt numFmtId="165" formatCode="_-[$€-2]* #,##0.00_-;_-[$€-2]* \-#,##0.00_-;_-[$€-2]* \-??_-;_-@"/>
    <numFmt numFmtId="166" formatCode="#,##0.00_ ;[Red]\-#,##0.00\ "/>
    <numFmt numFmtId="167" formatCode="#,##0.00;\(#,##0.00\)"/>
    <numFmt numFmtId="168" formatCode="0.00%;[Red]\(0.00%\)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b/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4.0"/>
      <color rgb="FF000000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b/>
      <sz val="14.0"/>
      <color rgb="FF000000"/>
      <name val="Arial"/>
    </font>
    <font>
      <b/>
      <u/>
      <sz val="10.0"/>
      <color rgb="FF000000"/>
      <name val="Arial"/>
    </font>
    <font>
      <b/>
      <sz val="2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1CC"/>
        <bgColor rgb="FFFFE1CC"/>
      </patternFill>
    </fill>
    <fill>
      <patternFill patternType="solid">
        <fgColor rgb="FFD9F1F3"/>
        <bgColor rgb="FFD9F1F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2" fillId="0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3" fillId="2" fontId="8" numFmtId="0" xfId="0" applyAlignment="1" applyBorder="1" applyFont="1">
      <alignment vertical="center"/>
    </xf>
    <xf borderId="4" fillId="2" fontId="5" numFmtId="164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3" fillId="3" fontId="8" numFmtId="0" xfId="0" applyAlignment="1" applyBorder="1" applyFill="1" applyFont="1">
      <alignment vertical="center"/>
    </xf>
    <xf borderId="4" fillId="3" fontId="8" numFmtId="164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vertical="center"/>
    </xf>
    <xf borderId="0" fillId="0" fontId="5" numFmtId="164" xfId="0" applyAlignment="1" applyFont="1" applyNumberFormat="1">
      <alignment vertical="center"/>
    </xf>
    <xf borderId="2" fillId="0" fontId="7" numFmtId="0" xfId="0" applyAlignment="1" applyBorder="1" applyFon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" fillId="0" fontId="10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vertical="center"/>
    </xf>
    <xf borderId="6" fillId="0" fontId="5" numFmtId="164" xfId="0" applyAlignment="1" applyBorder="1" applyFont="1" applyNumberFormat="1">
      <alignment vertical="center"/>
    </xf>
    <xf borderId="5" fillId="0" fontId="5" numFmtId="164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7" fillId="0" fontId="6" numFmtId="0" xfId="0" applyAlignment="1" applyBorder="1" applyFont="1">
      <alignment vertical="center"/>
    </xf>
    <xf borderId="2" fillId="0" fontId="5" numFmtId="164" xfId="0" applyAlignment="1" applyBorder="1" applyFont="1" applyNumberFormat="1">
      <alignment vertical="center"/>
    </xf>
    <xf borderId="7" fillId="0" fontId="5" numFmtId="164" xfId="0" applyAlignment="1" applyBorder="1" applyFont="1" applyNumberFormat="1">
      <alignment vertical="center"/>
    </xf>
    <xf borderId="7" fillId="0" fontId="9" numFmtId="0" xfId="0" applyAlignment="1" applyBorder="1" applyFont="1">
      <alignment vertical="center"/>
    </xf>
    <xf borderId="2" fillId="0" fontId="7" numFmtId="164" xfId="0" applyAlignment="1" applyBorder="1" applyFont="1" applyNumberFormat="1">
      <alignment vertical="center"/>
    </xf>
    <xf borderId="7" fillId="0" fontId="7" numFmtId="164" xfId="0" applyAlignment="1" applyBorder="1" applyFont="1" applyNumberFormat="1">
      <alignment vertical="center"/>
    </xf>
    <xf borderId="8" fillId="0" fontId="9" numFmtId="0" xfId="0" applyAlignment="1" applyBorder="1" applyFont="1">
      <alignment vertical="center"/>
    </xf>
    <xf borderId="9" fillId="0" fontId="7" numFmtId="164" xfId="0" applyAlignment="1" applyBorder="1" applyFont="1" applyNumberFormat="1">
      <alignment vertical="center"/>
    </xf>
    <xf borderId="8" fillId="0" fontId="7" numFmtId="164" xfId="0" applyAlignment="1" applyBorder="1" applyFont="1" applyNumberFormat="1">
      <alignment vertical="center"/>
    </xf>
    <xf borderId="1" fillId="0" fontId="9" numFmtId="0" xfId="0" applyAlignment="1" applyBorder="1" applyFont="1">
      <alignment vertical="center"/>
    </xf>
    <xf borderId="10" fillId="0" fontId="7" numFmtId="164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vertical="center"/>
    </xf>
    <xf borderId="9" fillId="0" fontId="5" numFmtId="164" xfId="0" applyAlignment="1" applyBorder="1" applyFont="1" applyNumberFormat="1">
      <alignment vertical="center"/>
    </xf>
    <xf borderId="8" fillId="0" fontId="5" numFmtId="164" xfId="0" applyAlignment="1" applyBorder="1" applyFont="1" applyNumberFormat="1">
      <alignment vertical="center"/>
    </xf>
    <xf borderId="10" fillId="0" fontId="5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0" fillId="0" fontId="6" numFmtId="0" xfId="0" applyAlignment="1" applyFont="1">
      <alignment horizontal="left" vertical="center"/>
    </xf>
    <xf borderId="0" fillId="0" fontId="6" numFmtId="165" xfId="0" applyAlignment="1" applyFont="1" applyNumberFormat="1">
      <alignment vertical="center"/>
    </xf>
    <xf borderId="11" fillId="0" fontId="9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0" fontId="9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4" fillId="0" fontId="9" numFmtId="0" xfId="0" applyAlignment="1" applyBorder="1" applyFont="1">
      <alignment vertical="center"/>
    </xf>
    <xf borderId="0" fillId="0" fontId="6" numFmtId="49" xfId="0" applyAlignment="1" applyFont="1" applyNumberFormat="1">
      <alignment vertical="center"/>
    </xf>
    <xf borderId="0" fillId="0" fontId="5" numFmtId="2" xfId="0" applyAlignment="1" applyFont="1" applyNumberFormat="1">
      <alignment vertical="center"/>
    </xf>
    <xf borderId="14" fillId="0" fontId="12" numFmtId="0" xfId="0" applyAlignment="1" applyBorder="1" applyFont="1">
      <alignment horizontal="center"/>
    </xf>
    <xf borderId="15" fillId="0" fontId="10" numFmtId="0" xfId="0" applyBorder="1" applyFont="1"/>
    <xf borderId="12" fillId="0" fontId="9" numFmtId="0" xfId="0" applyAlignment="1" applyBorder="1" applyFont="1">
      <alignment horizontal="center"/>
    </xf>
    <xf borderId="0" fillId="0" fontId="9" numFmtId="0" xfId="0" applyFont="1"/>
    <xf borderId="12" fillId="0" fontId="6" numFmtId="0" xfId="0" applyAlignment="1" applyBorder="1" applyFont="1">
      <alignment horizontal="center"/>
    </xf>
    <xf borderId="0" fillId="0" fontId="6" numFmtId="0" xfId="0" applyFont="1"/>
    <xf borderId="0" fillId="0" fontId="5" numFmtId="164" xfId="0" applyFont="1" applyNumberFormat="1"/>
    <xf borderId="14" fillId="0" fontId="9" numFmtId="0" xfId="0" applyAlignment="1" applyBorder="1" applyFont="1">
      <alignment horizontal="center"/>
    </xf>
    <xf borderId="15" fillId="0" fontId="9" numFmtId="0" xfId="0" applyBorder="1" applyFont="1"/>
    <xf borderId="0" fillId="0" fontId="7" numFmtId="164" xfId="0" applyFont="1" applyNumberFormat="1"/>
    <xf borderId="11" fillId="0" fontId="9" numFmtId="0" xfId="0" applyAlignment="1" applyBorder="1" applyFont="1">
      <alignment horizontal="center"/>
    </xf>
    <xf borderId="16" fillId="0" fontId="9" numFmtId="0" xfId="0" applyBorder="1" applyFont="1"/>
    <xf borderId="0" fillId="0" fontId="7" numFmtId="0" xfId="0" applyFont="1"/>
    <xf borderId="0" fillId="0" fontId="1" numFmtId="164" xfId="0" applyFont="1" applyNumberFormat="1"/>
    <xf borderId="13" fillId="0" fontId="6" numFmtId="0" xfId="0" applyAlignment="1" applyBorder="1" applyFont="1">
      <alignment horizontal="center"/>
    </xf>
    <xf borderId="17" fillId="0" fontId="6" numFmtId="0" xfId="0" applyBorder="1" applyFont="1"/>
    <xf borderId="11" fillId="0" fontId="6" numFmtId="0" xfId="0" applyAlignment="1" applyBorder="1" applyFont="1">
      <alignment horizontal="center"/>
    </xf>
    <xf borderId="16" fillId="0" fontId="6" numFmtId="0" xfId="0" applyBorder="1" applyFont="1"/>
    <xf borderId="13" fillId="0" fontId="9" numFmtId="0" xfId="0" applyAlignment="1" applyBorder="1" applyFont="1">
      <alignment horizontal="center"/>
    </xf>
    <xf borderId="17" fillId="0" fontId="9" numFmtId="0" xfId="0" applyBorder="1" applyFont="1"/>
    <xf borderId="0" fillId="0" fontId="13" numFmtId="0" xfId="0" applyAlignment="1" applyFont="1">
      <alignment horizontal="center"/>
    </xf>
    <xf borderId="0" fillId="0" fontId="13" numFmtId="0" xfId="0" applyAlignment="1" applyFont="1">
      <alignment readingOrder="0"/>
    </xf>
    <xf borderId="0" fillId="0" fontId="1" numFmtId="164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vertical="center"/>
    </xf>
    <xf borderId="0" fillId="0" fontId="13" numFmtId="0" xfId="0" applyFont="1"/>
    <xf borderId="0" fillId="0" fontId="5" numFmtId="0" xfId="0" applyFont="1"/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/>
    </xf>
    <xf borderId="18" fillId="0" fontId="6" numFmtId="0" xfId="0" applyBorder="1" applyFont="1"/>
    <xf borderId="19" fillId="0" fontId="6" numFmtId="0" xfId="0" applyBorder="1" applyFont="1"/>
    <xf borderId="19" fillId="0" fontId="9" numFmtId="0" xfId="0" applyBorder="1" applyFont="1"/>
    <xf borderId="0" fillId="0" fontId="14" numFmtId="0" xfId="0" applyFont="1"/>
    <xf borderId="0" fillId="0" fontId="5" numFmtId="166" xfId="0" applyFont="1" applyNumberFormat="1"/>
    <xf borderId="0" fillId="0" fontId="4" numFmtId="0" xfId="0" applyFont="1"/>
    <xf borderId="0" fillId="0" fontId="5" numFmtId="167" xfId="0" applyFont="1" applyNumberFormat="1"/>
    <xf borderId="0" fillId="0" fontId="7" numFmtId="168" xfId="0" applyFont="1" applyNumberFormat="1"/>
    <xf borderId="0" fillId="0" fontId="15" numFmtId="0" xfId="0" applyFont="1"/>
    <xf borderId="0" fillId="0" fontId="5" numFmtId="10" xfId="0" applyFont="1" applyNumberFormat="1"/>
    <xf borderId="0" fillId="0" fontId="7" numFmtId="167" xfId="0" applyFont="1" applyNumberFormat="1"/>
    <xf borderId="0" fillId="0" fontId="16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ROS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ind!$B$60:$I$60</c:f>
              <c:numCache/>
            </c:numRef>
          </c:val>
          <c:smooth val="0"/>
        </c:ser>
        <c:axId val="621806877"/>
        <c:axId val="1984109377"/>
      </c:lineChart>
      <c:catAx>
        <c:axId val="621806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984109377"/>
      </c:catAx>
      <c:valAx>
        <c:axId val="1984109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;[Red]\(0.00%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621806877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ROI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ind!$B$64:$I$64</c:f>
              <c:numCache/>
            </c:numRef>
          </c:val>
          <c:smooth val="0"/>
        </c:ser>
        <c:axId val="327666604"/>
        <c:axId val="1801917117"/>
      </c:lineChart>
      <c:catAx>
        <c:axId val="327666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801917117"/>
      </c:catAx>
      <c:valAx>
        <c:axId val="1801917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;[Red]\(0.00%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327666604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ROD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ind!$B$68:$I$68</c:f>
              <c:numCache/>
            </c:numRef>
          </c:val>
          <c:smooth val="0"/>
        </c:ser>
        <c:axId val="506149769"/>
        <c:axId val="1304940626"/>
      </c:lineChart>
      <c:catAx>
        <c:axId val="506149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304940626"/>
      </c:catAx>
      <c:valAx>
        <c:axId val="1304940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;[Red]\(0.00%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50614976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ROL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ind!$B$72:$I$72</c:f>
              <c:numCache/>
            </c:numRef>
          </c:val>
          <c:smooth val="0"/>
        </c:ser>
        <c:axId val="1324911686"/>
        <c:axId val="1881627664"/>
      </c:lineChart>
      <c:catAx>
        <c:axId val="1324911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881627664"/>
      </c:catAx>
      <c:valAx>
        <c:axId val="1881627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;[Red]\(0.00%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324911686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ROAACC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ind!$B$76:$I$76</c:f>
              <c:numCache/>
            </c:numRef>
          </c:val>
          <c:smooth val="0"/>
        </c:ser>
        <c:axId val="2015092201"/>
        <c:axId val="314671160"/>
      </c:lineChart>
      <c:catAx>
        <c:axId val="2015092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314671160"/>
      </c:catAx>
      <c:valAx>
        <c:axId val="314671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;[Red]\(0.00%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2015092201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ROE lordo vs netto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ROE netto</c:v>
          </c:tx>
          <c:spPr>
            <a:ln cmpd="sng" w="19050">
              <a:solidFill>
                <a:srgbClr val="90CED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0CED4">
                  <a:alpha val="100000"/>
                </a:srgbClr>
              </a:solidFill>
              <a:ln cmpd="sng">
                <a:solidFill>
                  <a:srgbClr val="90CED4">
                    <a:alpha val="100000"/>
                  </a:srgbClr>
                </a:solidFill>
              </a:ln>
            </c:spPr>
          </c:marker>
          <c:cat>
            <c:strRef>
              <c:f>ind!$B$56:$I$56</c:f>
            </c:strRef>
          </c:cat>
          <c:val>
            <c:numRef>
              <c:f>ind!$B$80:$I$80</c:f>
              <c:numCache/>
            </c:numRef>
          </c:val>
          <c:smooth val="0"/>
        </c:ser>
        <c:ser>
          <c:idx val="1"/>
          <c:order val="1"/>
          <c:tx>
            <c:v>ROE lordo</c:v>
          </c:tx>
          <c:spPr>
            <a:ln cmpd="sng" w="19050">
              <a:solidFill>
                <a:srgbClr val="3EA7AF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3EA7AF">
                  <a:alpha val="100000"/>
                </a:srgbClr>
              </a:solidFill>
              <a:ln cmpd="sng">
                <a:solidFill>
                  <a:srgbClr val="3EA7AF">
                    <a:alpha val="100000"/>
                  </a:srgbClr>
                </a:solidFill>
              </a:ln>
            </c:spPr>
          </c:marker>
          <c:cat>
            <c:strRef>
              <c:f>ind!$B$56:$I$56</c:f>
            </c:strRef>
          </c:cat>
          <c:val>
            <c:numRef>
              <c:f>ind!$C$84:$I$84</c:f>
              <c:numCache/>
            </c:numRef>
          </c:val>
          <c:smooth val="0"/>
        </c:ser>
        <c:axId val="349160920"/>
        <c:axId val="211324073"/>
      </c:lineChart>
      <c:catAx>
        <c:axId val="349160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211324073"/>
      </c:catAx>
      <c:valAx>
        <c:axId val="211324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;[Red]\(0.00%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349160920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Tempo medio di incasso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ind!$B$117:$I$117</c:f>
              <c:numCache/>
            </c:numRef>
          </c:val>
          <c:smooth val="0"/>
        </c:ser>
        <c:axId val="1612201182"/>
        <c:axId val="1425028939"/>
      </c:lineChart>
      <c:catAx>
        <c:axId val="1612201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425028939"/>
      </c:catAx>
      <c:valAx>
        <c:axId val="1425028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612201182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Tempo medio di pagamento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ind!$B$121:$I$121</c:f>
              <c:numCache/>
            </c:numRef>
          </c:val>
          <c:smooth val="0"/>
        </c:ser>
        <c:axId val="1096997858"/>
        <c:axId val="710040055"/>
      </c:lineChart>
      <c:catAx>
        <c:axId val="1096997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710040055"/>
      </c:catAx>
      <c:valAx>
        <c:axId val="710040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096997858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Tempo medio di giacenza in magazzino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ind!$B$126:$I$126</c:f>
              <c:numCache/>
            </c:numRef>
          </c:val>
          <c:smooth val="0"/>
        </c:ser>
        <c:axId val="1657549110"/>
        <c:axId val="413374474"/>
      </c:lineChart>
      <c:catAx>
        <c:axId val="1657549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413374474"/>
      </c:catAx>
      <c:valAx>
        <c:axId val="413374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657549110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Rotazione del magazzino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ind!$B$130:$I$130</c:f>
              <c:numCache/>
            </c:numRef>
          </c:val>
          <c:smooth val="0"/>
        </c:ser>
        <c:axId val="744009971"/>
        <c:axId val="1423150853"/>
      </c:lineChart>
      <c:catAx>
        <c:axId val="744009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423150853"/>
      </c:catAx>
      <c:valAx>
        <c:axId val="1423150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744009971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Rotazione AON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ind!$B$134:$I$134</c:f>
              <c:numCache/>
            </c:numRef>
          </c:val>
          <c:smooth val="0"/>
        </c:ser>
        <c:axId val="760093032"/>
        <c:axId val="611797574"/>
      </c:lineChart>
      <c:catAx>
        <c:axId val="760093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611797574"/>
      </c:catAx>
      <c:valAx>
        <c:axId val="611797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760093032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Rotazione AON*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ind!$B$138:$I$138</c:f>
              <c:numCache/>
            </c:numRef>
          </c:val>
          <c:smooth val="0"/>
        </c:ser>
        <c:axId val="390004046"/>
        <c:axId val="663927414"/>
      </c:lineChart>
      <c:catAx>
        <c:axId val="390004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663927414"/>
      </c:catAx>
      <c:valAx>
        <c:axId val="663927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390004046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Indice di liquidità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ind!$B$149:$I$149</c:f>
              <c:numCache/>
            </c:numRef>
          </c:val>
          <c:smooth val="0"/>
        </c:ser>
        <c:axId val="1723641565"/>
        <c:axId val="1110942678"/>
      </c:lineChart>
      <c:catAx>
        <c:axId val="1723641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110942678"/>
      </c:catAx>
      <c:valAx>
        <c:axId val="1110942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723641565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Indice di liquidità immediata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ind!$B$153:$I$153</c:f>
              <c:numCache/>
            </c:numRef>
          </c:val>
          <c:smooth val="0"/>
        </c:ser>
        <c:axId val="283163359"/>
        <c:axId val="2007574685"/>
      </c:lineChart>
      <c:catAx>
        <c:axId val="28316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2007574685"/>
      </c:catAx>
      <c:valAx>
        <c:axId val="2007574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28316335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Copertura economica degli interessi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ind!$B$219:$I$219</c:f>
              <c:numCache/>
            </c:numRef>
          </c:val>
          <c:smooth val="0"/>
        </c:ser>
        <c:axId val="419450120"/>
        <c:axId val="61244590"/>
      </c:lineChart>
      <c:catAx>
        <c:axId val="419450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61244590"/>
      </c:catAx>
      <c:valAx>
        <c:axId val="61244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419450120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Tempo di recupero del debito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ind!$B$56:$I$56</c:f>
            </c:strRef>
          </c:cat>
          <c:val>
            <c:numRef>
              <c:f>ind!$B$223:$I$223</c:f>
              <c:numCache/>
            </c:numRef>
          </c:val>
          <c:smooth val="0"/>
        </c:ser>
        <c:axId val="1582650493"/>
        <c:axId val="2032264881"/>
      </c:lineChart>
      <c:catAx>
        <c:axId val="1582650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2032264881"/>
      </c:catAx>
      <c:valAx>
        <c:axId val="2032264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582650493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Margine di struttura: secondo livello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cat>
            <c:strRef>
              <c:f>ind!$B$56:$I$56</c:f>
            </c:strRef>
          </c:cat>
          <c:val>
            <c:numRef>
              <c:f>ind!$B$162:$I$162</c:f>
              <c:numCache/>
            </c:numRef>
          </c:val>
          <c:smooth val="0"/>
        </c:ser>
        <c:axId val="470831578"/>
        <c:axId val="57539488"/>
      </c:lineChart>
      <c:catAx>
        <c:axId val="470831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39488"/>
      </c:catAx>
      <c:valAx>
        <c:axId val="57539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470831578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Margine di struttura: primo livello</c:v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BDC6">
                  <a:alpha val="100000"/>
                </a:srgbClr>
              </a:solidFill>
              <a:ln cmpd="sng">
                <a:solidFill>
                  <a:srgbClr val="46BDC6">
                    <a:alpha val="100000"/>
                  </a:srgbClr>
                </a:solidFill>
              </a:ln>
            </c:spPr>
          </c:marker>
          <c:cat>
            <c:strRef>
              <c:f>ind!$B$56:$I$56</c:f>
            </c:strRef>
          </c:cat>
          <c:val>
            <c:numRef>
              <c:f>ind!$B$157:$I$157</c:f>
              <c:numCache/>
            </c:numRef>
          </c:val>
          <c:smooth val="0"/>
        </c:ser>
        <c:axId val="1295073970"/>
        <c:axId val="417304226"/>
      </c:lineChart>
      <c:catAx>
        <c:axId val="129507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304226"/>
      </c:catAx>
      <c:valAx>
        <c:axId val="417304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295073970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4</xdr:row>
      <xdr:rowOff>123825</xdr:rowOff>
    </xdr:from>
    <xdr:ext cx="4505325" cy="3409950"/>
    <xdr:graphicFrame>
      <xdr:nvGraphicFramePr>
        <xdr:cNvPr id="185690517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5</xdr:row>
      <xdr:rowOff>0</xdr:rowOff>
    </xdr:from>
    <xdr:ext cx="4581525" cy="3409950"/>
    <xdr:graphicFrame>
      <xdr:nvGraphicFramePr>
        <xdr:cNvPr id="4790974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5</xdr:row>
      <xdr:rowOff>0</xdr:rowOff>
    </xdr:from>
    <xdr:ext cx="4581525" cy="3409950"/>
    <xdr:graphicFrame>
      <xdr:nvGraphicFramePr>
        <xdr:cNvPr id="20067478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29</xdr:row>
      <xdr:rowOff>0</xdr:rowOff>
    </xdr:from>
    <xdr:ext cx="4581525" cy="3409950"/>
    <xdr:graphicFrame>
      <xdr:nvGraphicFramePr>
        <xdr:cNvPr id="22273317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0</xdr:colOff>
      <xdr:row>29</xdr:row>
      <xdr:rowOff>0</xdr:rowOff>
    </xdr:from>
    <xdr:ext cx="4581525" cy="3409950"/>
    <xdr:graphicFrame>
      <xdr:nvGraphicFramePr>
        <xdr:cNvPr id="94336609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54</xdr:row>
      <xdr:rowOff>0</xdr:rowOff>
    </xdr:from>
    <xdr:ext cx="4581525" cy="3409950"/>
    <xdr:graphicFrame>
      <xdr:nvGraphicFramePr>
        <xdr:cNvPr id="16593953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83</xdr:row>
      <xdr:rowOff>0</xdr:rowOff>
    </xdr:from>
    <xdr:ext cx="4581525" cy="3409950"/>
    <xdr:graphicFrame>
      <xdr:nvGraphicFramePr>
        <xdr:cNvPr id="27350820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0</xdr:colOff>
      <xdr:row>83</xdr:row>
      <xdr:rowOff>0</xdr:rowOff>
    </xdr:from>
    <xdr:ext cx="4581525" cy="3409950"/>
    <xdr:graphicFrame>
      <xdr:nvGraphicFramePr>
        <xdr:cNvPr id="36952931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0</xdr:colOff>
      <xdr:row>83</xdr:row>
      <xdr:rowOff>0</xdr:rowOff>
    </xdr:from>
    <xdr:ext cx="4581525" cy="3409950"/>
    <xdr:graphicFrame>
      <xdr:nvGraphicFramePr>
        <xdr:cNvPr id="198003312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0</xdr:colOff>
      <xdr:row>108</xdr:row>
      <xdr:rowOff>0</xdr:rowOff>
    </xdr:from>
    <xdr:ext cx="4581525" cy="3409950"/>
    <xdr:graphicFrame>
      <xdr:nvGraphicFramePr>
        <xdr:cNvPr id="62960718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0</xdr:colOff>
      <xdr:row>108</xdr:row>
      <xdr:rowOff>0</xdr:rowOff>
    </xdr:from>
    <xdr:ext cx="4581525" cy="3409950"/>
    <xdr:graphicFrame>
      <xdr:nvGraphicFramePr>
        <xdr:cNvPr id="1100934444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15</xdr:col>
      <xdr:colOff>0</xdr:colOff>
      <xdr:row>108</xdr:row>
      <xdr:rowOff>0</xdr:rowOff>
    </xdr:from>
    <xdr:ext cx="4581525" cy="3409950"/>
    <xdr:graphicFrame>
      <xdr:nvGraphicFramePr>
        <xdr:cNvPr id="1881930418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0</xdr:colOff>
      <xdr:row>138</xdr:row>
      <xdr:rowOff>0</xdr:rowOff>
    </xdr:from>
    <xdr:ext cx="4581525" cy="3409950"/>
    <xdr:graphicFrame>
      <xdr:nvGraphicFramePr>
        <xdr:cNvPr id="1991756946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8</xdr:col>
      <xdr:colOff>0</xdr:colOff>
      <xdr:row>138</xdr:row>
      <xdr:rowOff>0</xdr:rowOff>
    </xdr:from>
    <xdr:ext cx="4581525" cy="3409950"/>
    <xdr:graphicFrame>
      <xdr:nvGraphicFramePr>
        <xdr:cNvPr id="88143339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</xdr:col>
      <xdr:colOff>0</xdr:colOff>
      <xdr:row>220</xdr:row>
      <xdr:rowOff>0</xdr:rowOff>
    </xdr:from>
    <xdr:ext cx="4581525" cy="3409950"/>
    <xdr:graphicFrame>
      <xdr:nvGraphicFramePr>
        <xdr:cNvPr id="54955238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8</xdr:col>
      <xdr:colOff>0</xdr:colOff>
      <xdr:row>220</xdr:row>
      <xdr:rowOff>0</xdr:rowOff>
    </xdr:from>
    <xdr:ext cx="4581525" cy="3409950"/>
    <xdr:graphicFrame>
      <xdr:nvGraphicFramePr>
        <xdr:cNvPr id="2021934710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</xdr:col>
      <xdr:colOff>0</xdr:colOff>
      <xdr:row>163</xdr:row>
      <xdr:rowOff>0</xdr:rowOff>
    </xdr:from>
    <xdr:ext cx="8810625" cy="3409950"/>
    <xdr:graphicFrame>
      <xdr:nvGraphicFramePr>
        <xdr:cNvPr id="997299226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</xdr:col>
      <xdr:colOff>0</xdr:colOff>
      <xdr:row>188</xdr:row>
      <xdr:rowOff>0</xdr:rowOff>
    </xdr:from>
    <xdr:ext cx="8772525" cy="4143375"/>
    <xdr:graphicFrame>
      <xdr:nvGraphicFramePr>
        <xdr:cNvPr id="1650008544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26" width="1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</row>
    <row r="3" ht="15.75" customHeight="1">
      <c r="A3" s="1" t="s">
        <v>10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</row>
    <row r="4" ht="15.75" customHeight="1">
      <c r="A4" s="1" t="s">
        <v>11</v>
      </c>
      <c r="B4" s="1">
        <v>8842950.0</v>
      </c>
      <c r="C4" s="1">
        <v>9182852.0</v>
      </c>
      <c r="D4" s="1">
        <v>9614947.0</v>
      </c>
      <c r="E4" s="1">
        <v>9565702.0</v>
      </c>
      <c r="F4" s="1">
        <v>7073181.0</v>
      </c>
      <c r="G4" s="1">
        <v>2616289.0</v>
      </c>
      <c r="H4" s="1">
        <v>1201123.0</v>
      </c>
      <c r="I4" s="1">
        <v>908499.0</v>
      </c>
    </row>
    <row r="5" ht="15.75" customHeight="1">
      <c r="A5" s="1" t="s">
        <v>12</v>
      </c>
      <c r="B5" s="1">
        <v>89523.0</v>
      </c>
      <c r="C5" s="1">
        <v>106380.0</v>
      </c>
      <c r="D5" s="1">
        <v>139717.0</v>
      </c>
      <c r="E5" s="1">
        <v>76490.0</v>
      </c>
      <c r="F5" s="1">
        <v>33453.0</v>
      </c>
      <c r="G5" s="1">
        <v>7543.0</v>
      </c>
      <c r="H5" s="1">
        <v>0.0</v>
      </c>
      <c r="I5" s="1">
        <v>1977.0</v>
      </c>
    </row>
    <row r="6" ht="15.75" customHeight="1">
      <c r="A6" s="1" t="s">
        <v>13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</row>
    <row r="7" ht="15.75" customHeight="1">
      <c r="A7" s="1" t="s">
        <v>14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</row>
    <row r="8" ht="15.75" customHeight="1">
      <c r="A8" s="1" t="s">
        <v>15</v>
      </c>
      <c r="B8" s="1">
        <v>64590.0</v>
      </c>
      <c r="C8" s="1">
        <v>97381.0</v>
      </c>
      <c r="D8" s="1">
        <v>130172.0</v>
      </c>
      <c r="E8" s="1">
        <v>3968.0</v>
      </c>
      <c r="F8" s="1">
        <v>4960.0</v>
      </c>
      <c r="G8" s="1">
        <v>0.0</v>
      </c>
      <c r="H8" s="1">
        <v>0.0</v>
      </c>
      <c r="I8" s="1">
        <v>0.0</v>
      </c>
    </row>
    <row r="9" ht="15.75" customHeight="1">
      <c r="A9" s="1" t="s">
        <v>16</v>
      </c>
      <c r="B9" s="1">
        <v>8453.0</v>
      </c>
      <c r="C9" s="1">
        <v>8999.0</v>
      </c>
      <c r="D9" s="1">
        <v>9545.0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</row>
    <row r="10" ht="15.75" customHeight="1">
      <c r="A10" s="1" t="s">
        <v>17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</row>
    <row r="11" ht="15.75" customHeight="1">
      <c r="A11" s="1" t="s">
        <v>18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</row>
    <row r="12" ht="15.75" customHeight="1">
      <c r="A12" s="1" t="s">
        <v>19</v>
      </c>
      <c r="B12" s="1">
        <v>0.0</v>
      </c>
      <c r="C12" s="1">
        <v>0.0</v>
      </c>
      <c r="D12" s="1">
        <v>0.0</v>
      </c>
      <c r="E12" s="1">
        <v>67622.0</v>
      </c>
      <c r="F12" s="1">
        <v>28493.0</v>
      </c>
      <c r="G12" s="1">
        <v>7543.0</v>
      </c>
      <c r="H12" s="1">
        <v>0.0</v>
      </c>
      <c r="I12" s="1">
        <v>0.0</v>
      </c>
    </row>
    <row r="13" ht="15.75" customHeight="1">
      <c r="A13" s="1" t="s">
        <v>20</v>
      </c>
      <c r="B13" s="1">
        <v>16480.0</v>
      </c>
      <c r="C13" s="1">
        <v>0.0</v>
      </c>
      <c r="D13" s="1">
        <v>0.0</v>
      </c>
      <c r="E13" s="1">
        <v>4900.0</v>
      </c>
      <c r="F13" s="1">
        <v>0.0</v>
      </c>
      <c r="G13" s="1">
        <v>0.0</v>
      </c>
      <c r="H13" s="1">
        <v>0.0</v>
      </c>
      <c r="I13" s="1">
        <v>1977.0</v>
      </c>
    </row>
    <row r="14" ht="15.75" customHeight="1">
      <c r="A14" s="1" t="s">
        <v>21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</row>
    <row r="15" ht="15.75" customHeight="1">
      <c r="A15" s="1" t="s">
        <v>22</v>
      </c>
      <c r="B15" s="1">
        <v>8694725.0</v>
      </c>
      <c r="C15" s="1">
        <v>9017770.0</v>
      </c>
      <c r="D15" s="1">
        <v>9416528.0</v>
      </c>
      <c r="E15" s="1">
        <v>9430510.0</v>
      </c>
      <c r="F15" s="1">
        <v>7025024.0</v>
      </c>
      <c r="G15" s="1">
        <v>2594042.0</v>
      </c>
      <c r="H15" s="1">
        <v>1186419.0</v>
      </c>
      <c r="I15" s="1">
        <v>891818.0</v>
      </c>
    </row>
    <row r="16" ht="15.75" customHeight="1">
      <c r="A16" s="1" t="s">
        <v>23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</row>
    <row r="17" ht="15.75" customHeight="1">
      <c r="A17" s="1" t="s">
        <v>24</v>
      </c>
      <c r="B17" s="1">
        <v>6069102.0</v>
      </c>
      <c r="C17" s="1">
        <v>6328571.0</v>
      </c>
      <c r="D17" s="1">
        <v>6543383.0</v>
      </c>
      <c r="E17" s="1">
        <v>6374984.0</v>
      </c>
      <c r="F17" s="1">
        <v>396319.0</v>
      </c>
      <c r="G17" s="1">
        <v>412628.0</v>
      </c>
      <c r="H17" s="1">
        <v>418736.0</v>
      </c>
      <c r="I17" s="1">
        <v>324645.0</v>
      </c>
    </row>
    <row r="18" ht="15.75" customHeight="1">
      <c r="A18" s="1" t="s">
        <v>25</v>
      </c>
      <c r="B18" s="1">
        <v>1774810.0</v>
      </c>
      <c r="C18" s="1">
        <v>2137598.0</v>
      </c>
      <c r="D18" s="1">
        <v>2352511.0</v>
      </c>
      <c r="E18" s="1">
        <v>2232169.0</v>
      </c>
      <c r="F18" s="1">
        <v>1801043.0</v>
      </c>
      <c r="G18" s="1">
        <v>258024.0</v>
      </c>
      <c r="H18" s="1">
        <v>302043.0</v>
      </c>
      <c r="I18" s="1">
        <v>336024.0</v>
      </c>
    </row>
    <row r="19" ht="15.75" customHeight="1">
      <c r="A19" s="1" t="s">
        <v>26</v>
      </c>
      <c r="B19" s="1">
        <v>197170.0</v>
      </c>
      <c r="C19" s="1">
        <v>187192.0</v>
      </c>
      <c r="D19" s="1">
        <v>184756.0</v>
      </c>
      <c r="E19" s="1">
        <v>168289.0</v>
      </c>
      <c r="F19" s="1">
        <v>141111.0</v>
      </c>
      <c r="G19" s="1">
        <v>110856.0</v>
      </c>
      <c r="H19" s="1">
        <v>130147.0</v>
      </c>
      <c r="I19" s="1">
        <v>133231.0</v>
      </c>
    </row>
    <row r="20" ht="15.75" customHeight="1">
      <c r="A20" s="1" t="s">
        <v>27</v>
      </c>
      <c r="B20" s="1">
        <v>177873.0</v>
      </c>
      <c r="C20" s="1">
        <v>244518.0</v>
      </c>
      <c r="D20" s="1">
        <v>312178.0</v>
      </c>
      <c r="E20" s="1">
        <v>236539.0</v>
      </c>
      <c r="F20" s="1">
        <v>116965.0</v>
      </c>
      <c r="G20" s="1">
        <v>45295.0</v>
      </c>
      <c r="H20" s="1">
        <v>68843.0</v>
      </c>
      <c r="I20" s="1">
        <v>97918.0</v>
      </c>
    </row>
    <row r="21" ht="15.75" customHeight="1">
      <c r="A21" s="1" t="s">
        <v>28</v>
      </c>
      <c r="B21" s="1">
        <v>475770.0</v>
      </c>
      <c r="C21" s="1">
        <v>119891.0</v>
      </c>
      <c r="D21" s="1">
        <v>23700.0</v>
      </c>
      <c r="E21" s="1">
        <v>418529.0</v>
      </c>
      <c r="F21" s="1">
        <v>4569586.0</v>
      </c>
      <c r="G21" s="1">
        <v>1767239.0</v>
      </c>
      <c r="H21" s="1">
        <v>266650.0</v>
      </c>
      <c r="I21" s="1">
        <v>0.0</v>
      </c>
    </row>
    <row r="22" ht="15.75" customHeight="1">
      <c r="A22" s="1" t="s">
        <v>29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 ht="15.75" customHeight="1">
      <c r="A23" s="1" t="s">
        <v>30</v>
      </c>
      <c r="B23" s="1">
        <v>58702.0</v>
      </c>
      <c r="C23" s="1">
        <v>58702.0</v>
      </c>
      <c r="D23" s="1">
        <v>58702.0</v>
      </c>
      <c r="E23" s="1">
        <v>58702.0</v>
      </c>
      <c r="F23" s="1">
        <v>14704.0</v>
      </c>
      <c r="G23" s="1">
        <v>14704.0</v>
      </c>
      <c r="H23" s="1">
        <v>14704.0</v>
      </c>
      <c r="I23" s="1">
        <v>14704.0</v>
      </c>
    </row>
    <row r="24" ht="15.75" customHeight="1">
      <c r="A24" s="1" t="s">
        <v>31</v>
      </c>
      <c r="B24" s="1">
        <v>0.0</v>
      </c>
      <c r="C24" s="1">
        <v>0.0</v>
      </c>
      <c r="D24" s="1">
        <v>0.0</v>
      </c>
      <c r="E24" s="1">
        <v>0.0</v>
      </c>
      <c r="F24" s="1">
        <v>8192.0</v>
      </c>
      <c r="G24" s="1">
        <v>8192.0</v>
      </c>
      <c r="H24" s="1">
        <v>8192.0</v>
      </c>
      <c r="I24" s="1">
        <v>0.0</v>
      </c>
    </row>
    <row r="25" ht="15.75" customHeight="1">
      <c r="A25" s="1" t="s">
        <v>32</v>
      </c>
      <c r="B25" s="1">
        <v>58702.0</v>
      </c>
      <c r="C25" s="1">
        <v>58702.0</v>
      </c>
      <c r="D25" s="1">
        <v>58702.0</v>
      </c>
      <c r="E25" s="1">
        <v>58702.0</v>
      </c>
      <c r="F25" s="1">
        <v>6512.0</v>
      </c>
      <c r="G25" s="1">
        <v>6512.0</v>
      </c>
      <c r="H25" s="1">
        <v>6512.0</v>
      </c>
      <c r="I25" s="1">
        <v>6512.0</v>
      </c>
    </row>
    <row r="26" ht="15.75" customHeight="1">
      <c r="A26" s="1" t="s">
        <v>33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 ht="15.75" customHeight="1">
      <c r="A27" s="1" t="s">
        <v>34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 ht="15.75" customHeight="1">
      <c r="A28" s="1" t="s">
        <v>35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 ht="15.75" customHeight="1">
      <c r="A29" s="1" t="s">
        <v>36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 ht="15.75" customHeight="1">
      <c r="A30" s="1" t="s">
        <v>37</v>
      </c>
      <c r="B30" s="1">
        <v>58702.0</v>
      </c>
      <c r="C30" s="1">
        <v>58702.0</v>
      </c>
      <c r="D30" s="1">
        <v>58702.0</v>
      </c>
      <c r="E30" s="1">
        <v>58702.0</v>
      </c>
      <c r="F30" s="1">
        <v>6512.0</v>
      </c>
      <c r="G30" s="1">
        <v>6512.0</v>
      </c>
      <c r="H30" s="1">
        <v>6512.0</v>
      </c>
      <c r="I30" s="1">
        <v>6512.0</v>
      </c>
    </row>
    <row r="31" ht="15.75" customHeight="1">
      <c r="A31" s="1" t="s">
        <v>38</v>
      </c>
      <c r="B31" s="1">
        <v>0.0</v>
      </c>
      <c r="C31" s="1">
        <v>0.0</v>
      </c>
      <c r="D31" s="1">
        <v>0.0</v>
      </c>
      <c r="E31" s="1">
        <v>0.0</v>
      </c>
      <c r="F31" s="1">
        <v>8192.0</v>
      </c>
      <c r="G31" s="1">
        <v>8192.0</v>
      </c>
      <c r="H31" s="1">
        <v>8192.0</v>
      </c>
      <c r="I31" s="1">
        <v>8192.0</v>
      </c>
    </row>
    <row r="32" ht="15.75" customHeight="1">
      <c r="A32" s="1" t="s">
        <v>39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 ht="15.75" customHeight="1">
      <c r="A33" s="1" t="s">
        <v>40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 ht="15.75" customHeight="1">
      <c r="A34" s="1" t="s">
        <v>41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 ht="15.75" customHeight="1">
      <c r="A35" s="1" t="s">
        <v>42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 ht="15.75" customHeight="1">
      <c r="A36" s="1" t="s">
        <v>43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 ht="15.75" customHeight="1">
      <c r="A37" s="1" t="s">
        <v>44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 ht="15.75" customHeight="1">
      <c r="A38" s="1" t="s">
        <v>45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 ht="15.75" customHeight="1">
      <c r="A39" s="1" t="s">
        <v>46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 ht="15.75" customHeight="1">
      <c r="A40" s="1" t="s">
        <v>47</v>
      </c>
      <c r="B40" s="1">
        <v>0.0</v>
      </c>
      <c r="C40" s="1">
        <v>0.0</v>
      </c>
      <c r="D40" s="1">
        <v>0.0</v>
      </c>
      <c r="E40" s="1">
        <v>0.0</v>
      </c>
      <c r="F40" s="1">
        <v>8192.0</v>
      </c>
      <c r="G40" s="1">
        <v>8192.0</v>
      </c>
      <c r="H40" s="1">
        <v>8192.0</v>
      </c>
      <c r="I40" s="1">
        <v>0.0</v>
      </c>
    </row>
    <row r="41" ht="15.75" customHeight="1">
      <c r="A41" s="1" t="s">
        <v>48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8192.0</v>
      </c>
    </row>
    <row r="42" ht="15.75" customHeight="1">
      <c r="A42" s="1" t="s">
        <v>49</v>
      </c>
      <c r="B42" s="1">
        <v>0.0</v>
      </c>
      <c r="C42" s="1">
        <v>0.0</v>
      </c>
      <c r="D42" s="1">
        <v>0.0</v>
      </c>
      <c r="E42" s="1">
        <v>0.0</v>
      </c>
      <c r="F42" s="1">
        <v>8192.0</v>
      </c>
      <c r="G42" s="1">
        <v>8192.0</v>
      </c>
      <c r="H42" s="1">
        <v>8192.0</v>
      </c>
      <c r="I42" s="1">
        <v>0.0</v>
      </c>
    </row>
    <row r="43" ht="15.75" customHeight="1">
      <c r="A43" s="1" t="s">
        <v>50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8192.0</v>
      </c>
    </row>
    <row r="44" ht="15.75" customHeight="1">
      <c r="A44" s="1" t="s">
        <v>51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 ht="15.75" customHeight="1">
      <c r="A45" s="1" t="s">
        <v>52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 ht="15.75" customHeight="1">
      <c r="A46" s="1" t="s">
        <v>53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 ht="15.75" customHeight="1">
      <c r="A47" s="1" t="s">
        <v>54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 ht="15.75" customHeight="1">
      <c r="A48" s="1" t="s">
        <v>55</v>
      </c>
      <c r="B48" s="1">
        <v>9864960.0</v>
      </c>
      <c r="C48" s="1">
        <v>1.1304972E7</v>
      </c>
      <c r="D48" s="1">
        <v>1.1040279E7</v>
      </c>
      <c r="E48" s="1">
        <v>8568239.0</v>
      </c>
      <c r="F48" s="1">
        <v>7656738.0</v>
      </c>
      <c r="G48" s="1">
        <v>6668572.0</v>
      </c>
      <c r="H48" s="1">
        <v>5217184.0</v>
      </c>
      <c r="I48" s="1">
        <v>5218727.0</v>
      </c>
    </row>
    <row r="49" ht="15.75" customHeight="1">
      <c r="A49" s="1" t="s">
        <v>56</v>
      </c>
      <c r="B49" s="1">
        <v>4608814.0</v>
      </c>
      <c r="C49" s="1">
        <v>5103684.0</v>
      </c>
      <c r="D49" s="1">
        <v>5250264.0</v>
      </c>
      <c r="E49" s="1">
        <v>2924371.0</v>
      </c>
      <c r="F49" s="1">
        <v>2556678.0</v>
      </c>
      <c r="G49" s="1">
        <v>3010721.0</v>
      </c>
      <c r="H49" s="1">
        <v>2422241.0</v>
      </c>
      <c r="I49" s="1">
        <v>2070635.0</v>
      </c>
    </row>
    <row r="50" ht="15.75" customHeight="1">
      <c r="A50" s="1" t="s">
        <v>57</v>
      </c>
      <c r="B50" s="1">
        <v>401813.0</v>
      </c>
      <c r="C50" s="1">
        <v>259874.0</v>
      </c>
      <c r="D50" s="1">
        <v>395324.0</v>
      </c>
      <c r="E50" s="1">
        <v>233185.0</v>
      </c>
      <c r="F50" s="1">
        <v>153593.0</v>
      </c>
      <c r="G50" s="1">
        <v>229845.0</v>
      </c>
      <c r="H50" s="1">
        <v>135786.0</v>
      </c>
      <c r="I50" s="1">
        <v>170823.0</v>
      </c>
    </row>
    <row r="51" ht="15.75" customHeight="1">
      <c r="A51" s="1" t="s">
        <v>58</v>
      </c>
      <c r="B51" s="1">
        <v>3664689.0</v>
      </c>
      <c r="C51" s="1">
        <v>4140030.0</v>
      </c>
      <c r="D51" s="1">
        <v>4081340.0</v>
      </c>
      <c r="E51" s="1">
        <v>2338118.0</v>
      </c>
      <c r="F51" s="1">
        <v>1996776.0</v>
      </c>
      <c r="G51" s="1">
        <v>2711561.0</v>
      </c>
      <c r="H51" s="1">
        <v>2072725.0</v>
      </c>
      <c r="I51" s="1">
        <v>1739894.0</v>
      </c>
    </row>
    <row r="52" ht="15.75" customHeight="1">
      <c r="A52" s="1" t="s">
        <v>59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 ht="15.75" customHeight="1">
      <c r="A53" s="1" t="s">
        <v>60</v>
      </c>
      <c r="B53" s="1">
        <v>542312.0</v>
      </c>
      <c r="C53" s="1">
        <v>640442.0</v>
      </c>
      <c r="D53" s="1">
        <v>773600.0</v>
      </c>
      <c r="E53" s="1">
        <v>353068.0</v>
      </c>
      <c r="F53" s="1">
        <v>406309.0</v>
      </c>
      <c r="G53" s="1">
        <v>69315.0</v>
      </c>
      <c r="H53" s="1">
        <v>213730.0</v>
      </c>
      <c r="I53" s="1">
        <v>159918.0</v>
      </c>
    </row>
    <row r="54" ht="15.75" customHeight="1">
      <c r="A54" s="1" t="s">
        <v>61</v>
      </c>
      <c r="B54" s="1">
        <v>0.0</v>
      </c>
      <c r="C54" s="1">
        <v>63338.0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</row>
    <row r="55" ht="15.75" customHeight="1">
      <c r="A55" s="1" t="s">
        <v>62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 ht="15.75" customHeight="1">
      <c r="A56" s="1" t="s">
        <v>63</v>
      </c>
      <c r="B56" s="1">
        <v>5013716.0</v>
      </c>
      <c r="C56" s="1">
        <v>5309746.0</v>
      </c>
      <c r="D56" s="1">
        <v>4632483.0</v>
      </c>
      <c r="E56" s="1">
        <v>3374197.0</v>
      </c>
      <c r="F56" s="1">
        <v>3111429.0</v>
      </c>
      <c r="G56" s="1">
        <v>3053922.0</v>
      </c>
      <c r="H56" s="1">
        <v>2457865.0</v>
      </c>
      <c r="I56" s="1">
        <v>2435304.0</v>
      </c>
    </row>
    <row r="57" ht="15.75" customHeight="1">
      <c r="A57" s="1" t="s">
        <v>64</v>
      </c>
      <c r="B57" s="1">
        <v>4256399.0</v>
      </c>
      <c r="C57" s="1">
        <v>3896776.0</v>
      </c>
      <c r="D57" s="1">
        <v>2966203.0</v>
      </c>
      <c r="E57" s="1">
        <v>3180616.0</v>
      </c>
      <c r="F57" s="1">
        <v>2787212.0</v>
      </c>
      <c r="G57" s="1">
        <v>2642901.0</v>
      </c>
      <c r="H57" s="1">
        <v>2353521.0</v>
      </c>
      <c r="I57" s="1">
        <v>2381302.0</v>
      </c>
    </row>
    <row r="58" ht="15.75" customHeight="1">
      <c r="A58" s="1" t="s">
        <v>65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 ht="15.75" customHeight="1">
      <c r="A59" s="1" t="s">
        <v>66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 ht="15.75" customHeight="1">
      <c r="A60" s="1" t="s">
        <v>67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 ht="15.75" customHeight="1">
      <c r="A61" s="1" t="s">
        <v>68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 ht="15.75" customHeight="1">
      <c r="A62" s="1" t="s">
        <v>69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 ht="15.75" customHeight="1">
      <c r="A63" s="1" t="s">
        <v>70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 ht="15.75" customHeight="1">
      <c r="A64" s="1" t="s">
        <v>71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 ht="15.75" customHeight="1">
      <c r="A65" s="1" t="s">
        <v>72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 ht="15.75" customHeight="1">
      <c r="A66" s="1" t="s">
        <v>73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</row>
    <row r="67" ht="15.75" customHeight="1">
      <c r="A67" s="1" t="s">
        <v>74</v>
      </c>
      <c r="B67" s="1">
        <v>11273.0</v>
      </c>
      <c r="C67" s="1">
        <v>121727.0</v>
      </c>
      <c r="D67" s="1">
        <v>578618.0</v>
      </c>
      <c r="E67" s="1">
        <v>112666.0</v>
      </c>
      <c r="F67" s="1">
        <v>284700.0</v>
      </c>
      <c r="G67" s="1">
        <v>175791.0</v>
      </c>
      <c r="H67" s="1">
        <v>57954.0</v>
      </c>
      <c r="I67" s="1">
        <v>4758.0</v>
      </c>
    </row>
    <row r="68" ht="15.75" customHeight="1">
      <c r="A68" s="1" t="s">
        <v>75</v>
      </c>
      <c r="B68" s="1">
        <v>12001.0</v>
      </c>
      <c r="C68" s="1">
        <v>21254.0</v>
      </c>
      <c r="D68" s="1">
        <v>127045.0</v>
      </c>
      <c r="E68" s="1">
        <v>34606.0</v>
      </c>
      <c r="F68" s="1">
        <v>0.0</v>
      </c>
      <c r="G68" s="1">
        <v>0.0</v>
      </c>
      <c r="H68" s="1">
        <v>0.0</v>
      </c>
      <c r="I68" s="1">
        <v>0.0</v>
      </c>
    </row>
    <row r="69" ht="15.75" customHeight="1">
      <c r="A69" s="1" t="s">
        <v>76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 ht="15.75" customHeight="1">
      <c r="A70" s="1" t="s">
        <v>77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 ht="15.75" customHeight="1">
      <c r="A71" s="1" t="s">
        <v>78</v>
      </c>
      <c r="B71" s="1">
        <v>120585.0</v>
      </c>
      <c r="C71" s="1">
        <v>110959.0</v>
      </c>
      <c r="D71" s="1">
        <v>51330.0</v>
      </c>
      <c r="E71" s="1">
        <v>38017.0</v>
      </c>
      <c r="F71" s="1">
        <v>39517.0</v>
      </c>
      <c r="G71" s="1">
        <v>235230.0</v>
      </c>
      <c r="H71" s="1">
        <v>46390.0</v>
      </c>
      <c r="I71" s="1">
        <v>49244.0</v>
      </c>
    </row>
    <row r="72" ht="15.75" customHeight="1">
      <c r="A72" s="1" t="s">
        <v>79</v>
      </c>
      <c r="B72" s="1">
        <v>613458.0</v>
      </c>
      <c r="C72" s="1">
        <v>1159030.0</v>
      </c>
      <c r="D72" s="1">
        <v>909287.0</v>
      </c>
      <c r="E72" s="1">
        <v>8292.0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80</v>
      </c>
      <c r="B73" s="1">
        <v>4388257.0</v>
      </c>
      <c r="C73" s="1">
        <v>4129462.0</v>
      </c>
      <c r="D73" s="1">
        <v>3596151.0</v>
      </c>
      <c r="E73" s="1">
        <v>3331299.0</v>
      </c>
      <c r="F73" s="1">
        <v>3111429.0</v>
      </c>
      <c r="G73" s="1">
        <v>3053922.0</v>
      </c>
      <c r="H73" s="1">
        <v>2457865.0</v>
      </c>
      <c r="I73" s="1">
        <v>2435304.0</v>
      </c>
    </row>
    <row r="74" ht="15.75" customHeight="1">
      <c r="A74" s="1" t="s">
        <v>81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82</v>
      </c>
      <c r="B75" s="1">
        <v>625459.0</v>
      </c>
      <c r="C75" s="1">
        <v>1180284.0</v>
      </c>
      <c r="D75" s="1">
        <v>1036332.0</v>
      </c>
      <c r="E75" s="1">
        <v>42898.0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83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84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>
      <c r="A78" s="1" t="s">
        <v>85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 ht="15.75" customHeight="1">
      <c r="A79" s="1" t="s">
        <v>86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</row>
    <row r="80" ht="15.75" customHeight="1">
      <c r="A80" s="1" t="s">
        <v>87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</row>
    <row r="81" ht="15.75" customHeight="1">
      <c r="A81" s="1" t="s">
        <v>88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</row>
    <row r="82" ht="15.75" customHeight="1">
      <c r="A82" s="1" t="s">
        <v>89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</row>
    <row r="83" ht="15.75" customHeight="1">
      <c r="A83" s="1" t="s">
        <v>54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</row>
    <row r="84" ht="15.75" customHeight="1">
      <c r="A84" s="1" t="s">
        <v>90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</row>
    <row r="85" ht="15.75" customHeight="1">
      <c r="A85" s="1" t="s">
        <v>91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</row>
    <row r="86" ht="15.75" customHeight="1">
      <c r="A86" s="1" t="s">
        <v>92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</row>
    <row r="87" ht="15.75" customHeight="1">
      <c r="A87" s="1" t="s">
        <v>93</v>
      </c>
      <c r="B87" s="1">
        <v>242430.0</v>
      </c>
      <c r="C87" s="1">
        <v>891542.0</v>
      </c>
      <c r="D87" s="1">
        <v>1157532.0</v>
      </c>
      <c r="E87" s="1">
        <v>2269671.0</v>
      </c>
      <c r="F87" s="1">
        <v>1988631.0</v>
      </c>
      <c r="G87" s="1">
        <v>603929.0</v>
      </c>
      <c r="H87" s="1">
        <v>337078.0</v>
      </c>
      <c r="I87" s="1">
        <v>712788.0</v>
      </c>
    </row>
    <row r="88" ht="15.75" customHeight="1">
      <c r="A88" s="1" t="s">
        <v>94</v>
      </c>
      <c r="B88" s="1">
        <v>241919.0</v>
      </c>
      <c r="C88" s="1">
        <v>891422.0</v>
      </c>
      <c r="D88" s="1">
        <v>1157445.0</v>
      </c>
      <c r="E88" s="1">
        <v>2269599.0</v>
      </c>
      <c r="F88" s="1">
        <v>1988227.0</v>
      </c>
      <c r="G88" s="1">
        <v>603874.0</v>
      </c>
      <c r="H88" s="1">
        <v>336843.0</v>
      </c>
      <c r="I88" s="1">
        <v>712192.0</v>
      </c>
    </row>
    <row r="89" ht="15.75" customHeight="1">
      <c r="A89" s="1" t="s">
        <v>95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</row>
    <row r="90" ht="15.75" customHeight="1">
      <c r="A90" s="1" t="s">
        <v>96</v>
      </c>
      <c r="B90" s="1">
        <v>511.0</v>
      </c>
      <c r="C90" s="1">
        <v>120.0</v>
      </c>
      <c r="D90" s="1">
        <v>87.0</v>
      </c>
      <c r="E90" s="1">
        <v>72.0</v>
      </c>
      <c r="F90" s="1">
        <v>404.0</v>
      </c>
      <c r="G90" s="1">
        <v>55.0</v>
      </c>
      <c r="H90" s="1">
        <v>235.0</v>
      </c>
      <c r="I90" s="1">
        <v>596.0</v>
      </c>
    </row>
    <row r="91" ht="15.75" customHeight="1">
      <c r="A91" s="1" t="s">
        <v>97</v>
      </c>
      <c r="B91" s="1">
        <v>82949.0</v>
      </c>
      <c r="C91" s="1">
        <v>66553.0</v>
      </c>
      <c r="D91" s="1">
        <v>67834.0</v>
      </c>
      <c r="E91" s="1">
        <v>70670.0</v>
      </c>
      <c r="F91" s="1">
        <v>65092.0</v>
      </c>
      <c r="G91" s="1">
        <v>26537.0</v>
      </c>
      <c r="H91" s="1">
        <v>36724.0</v>
      </c>
      <c r="I91" s="1">
        <v>24511.0</v>
      </c>
    </row>
    <row r="92" ht="15.75" customHeight="1">
      <c r="A92" s="1" t="s">
        <v>98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</row>
    <row r="93" ht="15.75" customHeight="1">
      <c r="A93" s="1" t="s">
        <v>99</v>
      </c>
      <c r="B93" s="1">
        <v>1.8790859E7</v>
      </c>
      <c r="C93" s="1">
        <v>2.0554377E7</v>
      </c>
      <c r="D93" s="1">
        <v>2.072306E7</v>
      </c>
      <c r="E93" s="1">
        <v>1.8204611E7</v>
      </c>
      <c r="F93" s="1">
        <v>1.4795011E7</v>
      </c>
      <c r="G93" s="1">
        <v>9311398.0</v>
      </c>
      <c r="H93" s="1">
        <v>6455031.0</v>
      </c>
      <c r="I93" s="1">
        <v>6151737.0</v>
      </c>
    </row>
    <row r="94" ht="15.75" customHeight="1">
      <c r="A94" s="1" t="s">
        <v>100</v>
      </c>
    </row>
    <row r="95" ht="15.75" customHeight="1">
      <c r="A95" s="1" t="s">
        <v>101</v>
      </c>
    </row>
    <row r="96" ht="15.75" customHeight="1">
      <c r="A96" s="1" t="s">
        <v>102</v>
      </c>
      <c r="B96" s="1">
        <v>5757287.0</v>
      </c>
      <c r="C96" s="1">
        <v>5227552.0</v>
      </c>
      <c r="D96" s="1">
        <v>4660887.0</v>
      </c>
      <c r="E96" s="1">
        <v>4082303.0</v>
      </c>
      <c r="F96" s="1">
        <v>3206001.0</v>
      </c>
      <c r="G96" s="1">
        <v>2384718.0</v>
      </c>
      <c r="H96" s="1">
        <v>1733081.0</v>
      </c>
      <c r="I96" s="1">
        <v>1062658.0</v>
      </c>
    </row>
    <row r="97" ht="15.75" customHeight="1">
      <c r="A97" s="1" t="s">
        <v>103</v>
      </c>
      <c r="B97" s="1">
        <v>140000.0</v>
      </c>
      <c r="C97" s="1">
        <v>140000.0</v>
      </c>
      <c r="D97" s="1">
        <v>140000.0</v>
      </c>
      <c r="E97" s="1">
        <v>140000.0</v>
      </c>
      <c r="F97" s="1">
        <v>140000.0</v>
      </c>
      <c r="G97" s="1">
        <v>140000.0</v>
      </c>
      <c r="H97" s="1">
        <v>140000.0</v>
      </c>
      <c r="I97" s="1">
        <v>140000.0</v>
      </c>
    </row>
    <row r="98" ht="15.75" customHeight="1">
      <c r="A98" s="1" t="s">
        <v>104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</row>
    <row r="99" ht="15.75" customHeight="1">
      <c r="A99" s="1" t="s">
        <v>105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</row>
    <row r="100" ht="15.75" customHeight="1">
      <c r="A100" s="1" t="s">
        <v>106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</row>
    <row r="101" ht="15.75" customHeight="1">
      <c r="A101" s="1" t="s">
        <v>107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</row>
    <row r="102" ht="15.75" customHeight="1">
      <c r="A102" s="1" t="s">
        <v>108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</row>
    <row r="103" ht="15.75" customHeight="1">
      <c r="A103" s="1" t="s">
        <v>109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</row>
    <row r="104" ht="15.75" customHeight="1">
      <c r="A104" s="1" t="s">
        <v>110</v>
      </c>
      <c r="B104" s="1">
        <v>28000.0</v>
      </c>
      <c r="C104" s="1">
        <v>28000.0</v>
      </c>
      <c r="D104" s="1">
        <v>28000.0</v>
      </c>
      <c r="E104" s="1">
        <v>28000.0</v>
      </c>
      <c r="F104" s="1">
        <v>28000.0</v>
      </c>
      <c r="G104" s="1">
        <v>28000.0</v>
      </c>
      <c r="H104" s="1">
        <v>18237.0</v>
      </c>
      <c r="I104" s="1">
        <v>0.0</v>
      </c>
    </row>
    <row r="105" ht="15.75" customHeight="1">
      <c r="A105" s="1" t="s">
        <v>111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</row>
    <row r="106" ht="15.75" customHeight="1">
      <c r="A106" s="1" t="s">
        <v>112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</row>
    <row r="107" ht="15.75" customHeight="1">
      <c r="A107" s="1" t="s">
        <v>113</v>
      </c>
      <c r="B107" s="1">
        <v>4689554.0</v>
      </c>
      <c r="C107" s="1">
        <v>4492885.0</v>
      </c>
      <c r="D107" s="1">
        <v>3814306.0</v>
      </c>
      <c r="E107" s="1">
        <v>2953000.0</v>
      </c>
      <c r="F107" s="1">
        <v>2116719.0</v>
      </c>
      <c r="G107" s="1">
        <v>1465082.0</v>
      </c>
      <c r="H107" s="1">
        <v>904419.0</v>
      </c>
      <c r="I107" s="1">
        <v>-1.0</v>
      </c>
    </row>
    <row r="108" ht="15.75" customHeight="1">
      <c r="A108" s="1" t="s">
        <v>114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</row>
    <row r="109" ht="15.75" customHeight="1">
      <c r="A109" s="1" t="s">
        <v>115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</row>
    <row r="110" ht="15.75" customHeight="1">
      <c r="A110" s="1" t="s">
        <v>116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557913.0</v>
      </c>
    </row>
    <row r="111" ht="15.75" customHeight="1">
      <c r="A111" s="1" t="s">
        <v>117</v>
      </c>
      <c r="B111" s="1">
        <v>899733.0</v>
      </c>
      <c r="C111" s="1">
        <v>566667.0</v>
      </c>
      <c r="D111" s="1">
        <v>678581.0</v>
      </c>
      <c r="E111" s="1">
        <v>961303.0</v>
      </c>
      <c r="F111" s="1">
        <v>921282.0</v>
      </c>
      <c r="G111" s="1">
        <v>751636.0</v>
      </c>
      <c r="H111" s="1">
        <v>670425.0</v>
      </c>
      <c r="I111" s="1">
        <v>364746.0</v>
      </c>
    </row>
    <row r="112" ht="15.75" customHeight="1">
      <c r="A112" s="1" t="s">
        <v>118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</row>
    <row r="113" ht="15.75" customHeight="1">
      <c r="A113" s="1" t="s">
        <v>119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</row>
    <row r="114" ht="15.75" customHeight="1">
      <c r="A114" s="1" t="s">
        <v>120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</row>
    <row r="115" ht="15.75" customHeight="1">
      <c r="A115" s="1" t="s">
        <v>121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</row>
    <row r="116" ht="15.75" customHeight="1">
      <c r="A116" s="1" t="s">
        <v>122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</row>
    <row r="117" ht="15.75" customHeight="1">
      <c r="A117" s="1" t="s">
        <v>123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</row>
    <row r="118" ht="15.75" customHeight="1">
      <c r="A118" s="1" t="s">
        <v>124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</row>
    <row r="119" ht="15.75" customHeight="1">
      <c r="A119" s="1" t="s">
        <v>125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</row>
    <row r="120" ht="15.75" customHeight="1">
      <c r="A120" s="1" t="s">
        <v>126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41042.0</v>
      </c>
      <c r="I120" s="1">
        <v>41042.0</v>
      </c>
    </row>
    <row r="121" ht="15.75" customHeight="1">
      <c r="A121" s="1" t="s">
        <v>127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</row>
    <row r="122" ht="15.75" customHeight="1">
      <c r="A122" s="1" t="s">
        <v>128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</row>
    <row r="123" ht="15.75" customHeight="1">
      <c r="A123" s="1" t="s">
        <v>129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</row>
    <row r="124" ht="15.75" customHeight="1">
      <c r="A124" s="1" t="s">
        <v>130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41042.0</v>
      </c>
      <c r="I124" s="1">
        <v>41042.0</v>
      </c>
    </row>
    <row r="125" ht="15.75" customHeight="1">
      <c r="A125" s="1" t="s">
        <v>131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</row>
    <row r="126" ht="15.75" customHeight="1">
      <c r="A126" s="1" t="s">
        <v>132</v>
      </c>
      <c r="B126" s="1">
        <v>191675.0</v>
      </c>
      <c r="C126" s="1">
        <v>179286.0</v>
      </c>
      <c r="D126" s="1">
        <v>189098.0</v>
      </c>
      <c r="E126" s="1">
        <v>197380.0</v>
      </c>
      <c r="F126" s="1">
        <v>174392.0</v>
      </c>
      <c r="G126" s="1">
        <v>206556.0</v>
      </c>
      <c r="H126" s="1">
        <v>187238.0</v>
      </c>
      <c r="I126" s="1">
        <v>173667.0</v>
      </c>
    </row>
    <row r="127" ht="15.75" customHeight="1">
      <c r="A127" s="1" t="s">
        <v>133</v>
      </c>
    </row>
    <row r="128" ht="15.75" customHeight="1">
      <c r="A128" s="1" t="s">
        <v>134</v>
      </c>
      <c r="B128" s="1">
        <v>1.1906052E7</v>
      </c>
      <c r="C128" s="1">
        <v>1.3914499E7</v>
      </c>
      <c r="D128" s="1">
        <v>1.4618344E7</v>
      </c>
      <c r="E128" s="1">
        <v>1.3815442E7</v>
      </c>
      <c r="F128" s="1">
        <v>1.1347602E7</v>
      </c>
      <c r="G128" s="1">
        <v>6671454.0</v>
      </c>
      <c r="H128" s="1">
        <v>4468030.0</v>
      </c>
      <c r="I128" s="1">
        <v>4868877.0</v>
      </c>
    </row>
    <row r="129" ht="15.75" customHeight="1">
      <c r="A129" s="1" t="s">
        <v>135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</row>
    <row r="130" ht="15.75" customHeight="1">
      <c r="A130" s="1" t="s">
        <v>136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</row>
    <row r="131" ht="15.75" customHeight="1">
      <c r="A131" s="1" t="s">
        <v>137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</row>
    <row r="132" ht="15.75" customHeight="1">
      <c r="A132" s="1" t="s">
        <v>138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</row>
    <row r="133" ht="15.75" customHeight="1">
      <c r="A133" s="1" t="s">
        <v>139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</row>
    <row r="134" ht="15.75" customHeight="1">
      <c r="A134" s="1" t="s">
        <v>140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</row>
    <row r="135" ht="15.75" customHeight="1">
      <c r="A135" s="1" t="s">
        <v>141</v>
      </c>
      <c r="B135" s="1">
        <v>3395294.0</v>
      </c>
      <c r="C135" s="1">
        <v>3987523.0</v>
      </c>
      <c r="D135" s="1">
        <v>4519420.0</v>
      </c>
      <c r="E135" s="1">
        <v>3495062.0</v>
      </c>
      <c r="F135" s="1">
        <v>2923930.0</v>
      </c>
      <c r="G135" s="1">
        <v>3390744.0</v>
      </c>
      <c r="H135" s="1">
        <v>1825267.0</v>
      </c>
      <c r="I135" s="1">
        <v>1954310.0</v>
      </c>
    </row>
    <row r="136" ht="15.75" customHeight="1">
      <c r="A136" s="1" t="s">
        <v>142</v>
      </c>
      <c r="B136" s="1">
        <v>5110204.0</v>
      </c>
      <c r="C136" s="1">
        <v>6691873.0</v>
      </c>
      <c r="D136" s="1">
        <v>6691933.0</v>
      </c>
      <c r="E136" s="1">
        <v>7333471.0</v>
      </c>
      <c r="F136" s="1">
        <v>6304053.0</v>
      </c>
      <c r="G136" s="1">
        <v>588287.0</v>
      </c>
      <c r="H136" s="1">
        <v>808395.0</v>
      </c>
      <c r="I136" s="1">
        <v>952264.0</v>
      </c>
    </row>
    <row r="137" ht="15.75" customHeight="1">
      <c r="A137" s="1" t="s">
        <v>143</v>
      </c>
      <c r="B137" s="1">
        <v>435.0</v>
      </c>
      <c r="C137" s="1">
        <v>435.0</v>
      </c>
      <c r="D137" s="1">
        <v>435.0</v>
      </c>
      <c r="E137" s="1">
        <v>435.0</v>
      </c>
      <c r="F137" s="1">
        <v>310.0</v>
      </c>
      <c r="G137" s="1">
        <v>0.0</v>
      </c>
      <c r="H137" s="1">
        <v>120.0</v>
      </c>
      <c r="I137" s="1">
        <v>0.0</v>
      </c>
    </row>
    <row r="138" ht="15.75" customHeight="1">
      <c r="A138" s="1" t="s">
        <v>144</v>
      </c>
      <c r="B138" s="1">
        <v>0.0</v>
      </c>
      <c r="C138" s="1">
        <v>0.0</v>
      </c>
      <c r="D138" s="1">
        <v>25580.0</v>
      </c>
      <c r="E138" s="1">
        <v>38724.0</v>
      </c>
      <c r="F138" s="1">
        <v>0.0</v>
      </c>
      <c r="G138" s="1">
        <v>0.0</v>
      </c>
      <c r="H138" s="1">
        <v>0.0</v>
      </c>
      <c r="I138" s="1">
        <v>0.0</v>
      </c>
    </row>
    <row r="139" ht="15.75" customHeight="1">
      <c r="A139" s="1" t="s">
        <v>145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73.0</v>
      </c>
      <c r="H139" s="1">
        <v>73.0</v>
      </c>
      <c r="I139" s="1">
        <v>0.0</v>
      </c>
    </row>
    <row r="140" ht="15.75" customHeight="1">
      <c r="A140" s="1" t="s">
        <v>146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</row>
    <row r="141" ht="15.75" customHeight="1">
      <c r="A141" s="1" t="s">
        <v>147</v>
      </c>
      <c r="B141" s="1">
        <v>2274193.0</v>
      </c>
      <c r="C141" s="1">
        <v>2343088.0</v>
      </c>
      <c r="D141" s="1">
        <v>2517619.0</v>
      </c>
      <c r="E141" s="1">
        <v>2142223.0</v>
      </c>
      <c r="F141" s="1">
        <v>1385728.0</v>
      </c>
      <c r="G141" s="1">
        <v>2083244.0</v>
      </c>
      <c r="H141" s="1">
        <v>1195746.0</v>
      </c>
      <c r="I141" s="1">
        <v>1264218.0</v>
      </c>
    </row>
    <row r="142" ht="15.75" customHeight="1">
      <c r="A142" s="1" t="s">
        <v>148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</row>
    <row r="143" ht="15.75" customHeight="1">
      <c r="A143" s="1" t="s">
        <v>149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</row>
    <row r="144" ht="15.75" customHeight="1">
      <c r="A144" s="1" t="s">
        <v>150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</row>
    <row r="145" ht="15.75" customHeight="1">
      <c r="A145" s="1" t="s">
        <v>151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</row>
    <row r="146" ht="15.75" customHeight="1">
      <c r="A146" s="1" t="s">
        <v>152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</row>
    <row r="147" ht="15.75" customHeight="1">
      <c r="A147" s="1" t="s">
        <v>153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</row>
    <row r="148" ht="15.75" customHeight="1">
      <c r="A148" s="1" t="s">
        <v>154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</row>
    <row r="149" ht="15.75" customHeight="1">
      <c r="A149" s="1" t="s">
        <v>155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</row>
    <row r="150" ht="15.75" customHeight="1">
      <c r="A150" s="1" t="s">
        <v>156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</row>
    <row r="151" ht="15.75" customHeight="1">
      <c r="A151" s="1" t="s">
        <v>157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</row>
    <row r="152" ht="15.75" customHeight="1">
      <c r="A152" s="1" t="s">
        <v>158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</row>
    <row r="153" ht="15.75" customHeight="1">
      <c r="A153" s="1" t="s">
        <v>159</v>
      </c>
      <c r="B153" s="1">
        <v>235721.0</v>
      </c>
      <c r="C153" s="1">
        <v>135216.0</v>
      </c>
      <c r="D153" s="1">
        <v>65377.0</v>
      </c>
      <c r="E153" s="1">
        <v>105582.0</v>
      </c>
      <c r="F153" s="1">
        <v>106674.0</v>
      </c>
      <c r="G153" s="1">
        <v>51877.0</v>
      </c>
      <c r="H153" s="1">
        <v>163119.0</v>
      </c>
      <c r="I153" s="1">
        <v>243381.0</v>
      </c>
    </row>
    <row r="154" ht="15.75" customHeight="1">
      <c r="A154" s="1" t="s">
        <v>160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</row>
    <row r="155" ht="15.75" customHeight="1">
      <c r="A155" s="1" t="s">
        <v>161</v>
      </c>
      <c r="B155" s="1">
        <v>70140.0</v>
      </c>
      <c r="C155" s="1">
        <v>86558.0</v>
      </c>
      <c r="D155" s="1">
        <v>64694.0</v>
      </c>
      <c r="E155" s="1">
        <v>66189.0</v>
      </c>
      <c r="F155" s="1">
        <v>45686.0</v>
      </c>
      <c r="G155" s="1">
        <v>58094.0</v>
      </c>
      <c r="H155" s="1">
        <v>53295.0</v>
      </c>
      <c r="I155" s="1">
        <v>60311.0</v>
      </c>
    </row>
    <row r="156" ht="15.75" customHeight="1">
      <c r="A156" s="1" t="s">
        <v>162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</row>
    <row r="157" ht="15.75" customHeight="1">
      <c r="A157" s="1" t="s">
        <v>163</v>
      </c>
      <c r="B157" s="1">
        <v>820065.0</v>
      </c>
      <c r="C157" s="1">
        <v>669806.0</v>
      </c>
      <c r="D157" s="1">
        <v>733286.0</v>
      </c>
      <c r="E157" s="1">
        <v>633756.0</v>
      </c>
      <c r="F157" s="1">
        <v>581221.0</v>
      </c>
      <c r="G157" s="1">
        <v>499135.0</v>
      </c>
      <c r="H157" s="1">
        <v>422015.0</v>
      </c>
      <c r="I157" s="1">
        <v>394393.0</v>
      </c>
    </row>
    <row r="158" ht="15.75" customHeight="1">
      <c r="A158" s="1" t="s">
        <v>164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</row>
    <row r="159" ht="15.75" customHeight="1">
      <c r="A159" s="1" t="s">
        <v>165</v>
      </c>
      <c r="B159" s="1">
        <v>6795848.0</v>
      </c>
      <c r="C159" s="1">
        <v>7222626.0</v>
      </c>
      <c r="D159" s="1">
        <v>7900831.0</v>
      </c>
      <c r="E159" s="1">
        <v>6443247.0</v>
      </c>
      <c r="F159" s="1">
        <v>5043549.0</v>
      </c>
      <c r="G159" s="1">
        <v>6083167.0</v>
      </c>
      <c r="H159" s="1">
        <v>3659635.0</v>
      </c>
      <c r="I159" s="1">
        <v>3916613.0</v>
      </c>
    </row>
    <row r="160" ht="15.75" customHeight="1">
      <c r="A160" s="1" t="s">
        <v>166</v>
      </c>
      <c r="B160" s="1">
        <v>5110204.0</v>
      </c>
      <c r="C160" s="1">
        <v>6691873.0</v>
      </c>
      <c r="D160" s="1">
        <v>6717513.0</v>
      </c>
      <c r="E160" s="1">
        <v>7372195.0</v>
      </c>
      <c r="F160" s="1">
        <v>6304053.0</v>
      </c>
      <c r="G160" s="1">
        <v>588287.0</v>
      </c>
      <c r="H160" s="1">
        <v>808395.0</v>
      </c>
      <c r="I160" s="1">
        <v>952264.0</v>
      </c>
    </row>
    <row r="161" ht="15.75" customHeight="1">
      <c r="A161" s="1" t="s">
        <v>167</v>
      </c>
      <c r="B161" s="1">
        <v>6795848.0</v>
      </c>
      <c r="C161" s="1">
        <v>7222626.0</v>
      </c>
      <c r="D161" s="1">
        <v>7900831.0</v>
      </c>
      <c r="E161" s="1">
        <v>6443247.0</v>
      </c>
      <c r="F161" s="1">
        <v>5043549.0</v>
      </c>
      <c r="G161" s="1">
        <v>6083167.0</v>
      </c>
      <c r="H161" s="1">
        <v>3659635.0</v>
      </c>
      <c r="I161" s="1">
        <v>3916613.0</v>
      </c>
    </row>
    <row r="162" ht="15.75" customHeight="1">
      <c r="A162" s="1" t="s">
        <v>168</v>
      </c>
      <c r="B162" s="1">
        <v>5110204.0</v>
      </c>
      <c r="C162" s="1">
        <v>6691873.0</v>
      </c>
      <c r="D162" s="1">
        <v>6717513.0</v>
      </c>
      <c r="E162" s="1">
        <v>7372195.0</v>
      </c>
      <c r="F162" s="1">
        <v>6304053.0</v>
      </c>
      <c r="G162" s="1">
        <v>588287.0</v>
      </c>
      <c r="H162" s="1">
        <v>808395.0</v>
      </c>
      <c r="I162" s="1">
        <v>952264.0</v>
      </c>
    </row>
    <row r="163" ht="15.75" customHeight="1">
      <c r="A163" s="1" t="s">
        <v>169</v>
      </c>
      <c r="B163" s="1">
        <v>935845.0</v>
      </c>
      <c r="C163" s="1">
        <v>1233040.0</v>
      </c>
      <c r="D163" s="1">
        <v>1254731.0</v>
      </c>
      <c r="E163" s="1">
        <v>109486.0</v>
      </c>
      <c r="F163" s="1">
        <v>67016.0</v>
      </c>
      <c r="G163" s="1">
        <v>48670.0</v>
      </c>
      <c r="H163" s="1">
        <v>25640.0</v>
      </c>
      <c r="I163" s="1">
        <v>5493.0</v>
      </c>
    </row>
    <row r="164" ht="15.75" customHeight="1">
      <c r="A164" s="1" t="s">
        <v>170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</row>
    <row r="165" ht="15.75" customHeight="1">
      <c r="A165" s="1" t="s">
        <v>171</v>
      </c>
      <c r="B165" s="1">
        <v>1.8790859E7</v>
      </c>
      <c r="C165" s="1">
        <v>2.0554377E7</v>
      </c>
      <c r="D165" s="1">
        <v>2.072306E7</v>
      </c>
      <c r="E165" s="1">
        <v>1.8204611E7</v>
      </c>
      <c r="F165" s="1">
        <v>1.4795011E7</v>
      </c>
      <c r="G165" s="1">
        <v>9311398.0</v>
      </c>
      <c r="H165" s="1">
        <v>6455031.0</v>
      </c>
      <c r="I165" s="1">
        <v>6151737.0</v>
      </c>
    </row>
    <row r="166" ht="15.75" customHeight="1">
      <c r="A166" s="1" t="s">
        <v>172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</row>
    <row r="167" ht="15.75" customHeight="1">
      <c r="A167" s="1" t="s">
        <v>173</v>
      </c>
    </row>
    <row r="168" ht="15.75" customHeight="1">
      <c r="A168" s="1" t="s">
        <v>174</v>
      </c>
      <c r="B168" s="1">
        <v>2.1175083E7</v>
      </c>
      <c r="C168" s="1">
        <v>2.1333756E7</v>
      </c>
      <c r="D168" s="1">
        <v>2.0175039E7</v>
      </c>
      <c r="E168" s="1">
        <v>1.5943683E7</v>
      </c>
      <c r="F168" s="1">
        <v>1.3994258E7</v>
      </c>
      <c r="G168" s="1">
        <v>1.409698E7</v>
      </c>
      <c r="H168" s="1">
        <v>1.192786E7</v>
      </c>
      <c r="I168" s="1">
        <v>9845054.0</v>
      </c>
    </row>
    <row r="169" ht="15.75" customHeight="1">
      <c r="A169" s="1" t="s">
        <v>175</v>
      </c>
      <c r="B169" s="1">
        <v>2.1463379E7</v>
      </c>
      <c r="C169" s="1">
        <v>2.098852E7</v>
      </c>
      <c r="D169" s="1">
        <v>1.7588847E7</v>
      </c>
      <c r="E169" s="1">
        <v>1.5559839E7</v>
      </c>
      <c r="F169" s="1">
        <v>1.4316092E7</v>
      </c>
      <c r="G169" s="1">
        <v>1.3473198E7</v>
      </c>
      <c r="H169" s="1">
        <v>1.1493812E7</v>
      </c>
      <c r="I169" s="1">
        <v>9891413.0</v>
      </c>
    </row>
    <row r="170" ht="15.75" customHeight="1">
      <c r="A170" s="1" t="s">
        <v>176</v>
      </c>
      <c r="B170" s="1">
        <v>-573471.0</v>
      </c>
      <c r="C170" s="1">
        <v>-74468.0</v>
      </c>
      <c r="D170" s="1">
        <v>2163754.0</v>
      </c>
      <c r="E170" s="1">
        <v>288102.0</v>
      </c>
      <c r="F170" s="1">
        <v>-377792.0</v>
      </c>
      <c r="G170" s="1">
        <v>494422.0</v>
      </c>
      <c r="H170" s="1">
        <v>386643.0</v>
      </c>
      <c r="I170" s="1">
        <v>-75281.0</v>
      </c>
    </row>
    <row r="171" ht="15.75" customHeight="1">
      <c r="A171" s="1" t="s">
        <v>177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</row>
    <row r="172" ht="15.75" customHeight="1">
      <c r="A172" s="1" t="s">
        <v>178</v>
      </c>
      <c r="B172" s="1">
        <v>-573471.0</v>
      </c>
      <c r="C172" s="1">
        <v>-74468.0</v>
      </c>
      <c r="D172" s="1">
        <v>2163754.0</v>
      </c>
      <c r="E172" s="1">
        <v>288102.0</v>
      </c>
      <c r="F172" s="1">
        <v>-377792.0</v>
      </c>
      <c r="G172" s="1">
        <v>494422.0</v>
      </c>
      <c r="H172" s="1">
        <v>386643.0</v>
      </c>
      <c r="I172" s="1">
        <v>-75281.0</v>
      </c>
    </row>
    <row r="173" ht="15.75" customHeight="1">
      <c r="A173" s="1" t="s">
        <v>179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</row>
    <row r="174" ht="15.75" customHeight="1">
      <c r="A174" s="1" t="s">
        <v>180</v>
      </c>
      <c r="B174" s="1">
        <v>285175.0</v>
      </c>
      <c r="C174" s="1">
        <v>419704.0</v>
      </c>
      <c r="D174" s="1">
        <v>422438.0</v>
      </c>
      <c r="E174" s="1">
        <v>95742.0</v>
      </c>
      <c r="F174" s="1">
        <v>55958.0</v>
      </c>
      <c r="G174" s="1">
        <v>129360.0</v>
      </c>
      <c r="H174" s="1">
        <v>47405.0</v>
      </c>
      <c r="I174" s="1">
        <v>28922.0</v>
      </c>
    </row>
    <row r="175" ht="15.75" customHeight="1">
      <c r="A175" s="1" t="s">
        <v>181</v>
      </c>
      <c r="B175" s="1">
        <v>97559.0</v>
      </c>
      <c r="C175" s="1">
        <v>265833.0</v>
      </c>
      <c r="D175" s="1">
        <v>189996.0</v>
      </c>
      <c r="E175" s="1">
        <v>17223.0</v>
      </c>
      <c r="F175" s="1">
        <v>35171.0</v>
      </c>
      <c r="G175" s="1">
        <v>52406.0</v>
      </c>
      <c r="H175" s="1">
        <v>21783.0</v>
      </c>
      <c r="I175" s="1">
        <v>2994.0</v>
      </c>
    </row>
    <row r="176" ht="15.75" customHeight="1">
      <c r="A176" s="1" t="s">
        <v>182</v>
      </c>
      <c r="B176" s="1">
        <v>1.9586234E7</v>
      </c>
      <c r="C176" s="1">
        <v>2.0216429E7</v>
      </c>
      <c r="D176" s="1">
        <v>1.9211064E7</v>
      </c>
      <c r="E176" s="1">
        <v>1.4532426E7</v>
      </c>
      <c r="F176" s="1">
        <v>1.2642532E7</v>
      </c>
      <c r="G176" s="1">
        <v>1.3027353E7</v>
      </c>
      <c r="H176" s="1">
        <v>1.087491E7</v>
      </c>
      <c r="I176" s="1">
        <v>9209207.0</v>
      </c>
    </row>
    <row r="177" ht="15.75" customHeight="1">
      <c r="A177" s="1" t="s">
        <v>183</v>
      </c>
      <c r="B177" s="1">
        <v>1.4699595E7</v>
      </c>
      <c r="C177" s="1">
        <v>1.4953922E7</v>
      </c>
      <c r="D177" s="1">
        <v>1.3825249E7</v>
      </c>
      <c r="E177" s="1">
        <v>1.0511247E7</v>
      </c>
      <c r="F177" s="1">
        <v>9060210.0</v>
      </c>
      <c r="G177" s="1">
        <v>9472095.0</v>
      </c>
      <c r="H177" s="1">
        <v>7620373.0</v>
      </c>
      <c r="I177" s="1">
        <v>6509298.0</v>
      </c>
    </row>
    <row r="178" ht="15.75" customHeight="1">
      <c r="A178" s="1" t="s">
        <v>184</v>
      </c>
      <c r="B178" s="1">
        <v>2422226.0</v>
      </c>
      <c r="C178" s="1">
        <v>2512120.0</v>
      </c>
      <c r="D178" s="1">
        <v>2928006.0</v>
      </c>
      <c r="E178" s="1">
        <v>2010409.0</v>
      </c>
      <c r="F178" s="1">
        <v>1917407.0</v>
      </c>
      <c r="G178" s="1">
        <v>1966664.0</v>
      </c>
      <c r="H178" s="1">
        <v>1696231.0</v>
      </c>
      <c r="I178" s="1">
        <v>1342031.0</v>
      </c>
    </row>
    <row r="179" ht="15.75" customHeight="1">
      <c r="A179" s="1" t="s">
        <v>185</v>
      </c>
      <c r="B179" s="1">
        <v>117380.0</v>
      </c>
      <c r="C179" s="1">
        <v>75105.0</v>
      </c>
      <c r="D179" s="1">
        <v>85474.0</v>
      </c>
      <c r="E179" s="1">
        <v>78590.0</v>
      </c>
      <c r="F179" s="1">
        <v>73502.0</v>
      </c>
      <c r="G179" s="1">
        <v>66140.0</v>
      </c>
      <c r="H179" s="1">
        <v>53268.0</v>
      </c>
      <c r="I179" s="1">
        <v>64128.0</v>
      </c>
    </row>
    <row r="180" ht="15.75" customHeight="1">
      <c r="A180" s="1" t="s">
        <v>186</v>
      </c>
      <c r="B180" s="1">
        <v>1498458.0</v>
      </c>
      <c r="C180" s="1">
        <v>1556067.0</v>
      </c>
      <c r="D180" s="1">
        <v>1602450.0</v>
      </c>
      <c r="E180" s="1">
        <v>1479224.0</v>
      </c>
      <c r="F180" s="1">
        <v>1291439.0</v>
      </c>
      <c r="G180" s="1">
        <v>1276116.0</v>
      </c>
      <c r="H180" s="1">
        <v>1096036.0</v>
      </c>
      <c r="I180" s="1">
        <v>863572.0</v>
      </c>
    </row>
    <row r="181" ht="15.75" customHeight="1">
      <c r="A181" s="1" t="s">
        <v>187</v>
      </c>
      <c r="B181" s="1">
        <v>1114481.0</v>
      </c>
      <c r="C181" s="1">
        <v>1153603.0</v>
      </c>
      <c r="D181" s="1">
        <v>1171537.0</v>
      </c>
      <c r="E181" s="1">
        <v>1109703.0</v>
      </c>
      <c r="F181" s="1">
        <v>995556.0</v>
      </c>
      <c r="G181" s="1">
        <v>970126.0</v>
      </c>
      <c r="H181" s="1">
        <v>843534.0</v>
      </c>
      <c r="I181" s="1">
        <v>639901.0</v>
      </c>
    </row>
    <row r="182" ht="15.75" customHeight="1">
      <c r="A182" s="1" t="s">
        <v>188</v>
      </c>
      <c r="B182" s="1">
        <v>304319.0</v>
      </c>
      <c r="C182" s="1">
        <v>320564.0</v>
      </c>
      <c r="D182" s="1">
        <v>339324.0</v>
      </c>
      <c r="E182" s="1">
        <v>306352.0</v>
      </c>
      <c r="F182" s="1">
        <v>246288.0</v>
      </c>
      <c r="G182" s="1">
        <v>257238.0</v>
      </c>
      <c r="H182" s="1">
        <v>208162.0</v>
      </c>
      <c r="I182" s="1">
        <v>183386.0</v>
      </c>
    </row>
    <row r="183" ht="15.75" customHeight="1">
      <c r="A183" s="1" t="s">
        <v>189</v>
      </c>
      <c r="B183" s="1">
        <v>34063.0</v>
      </c>
      <c r="C183" s="1">
        <v>69740.0</v>
      </c>
      <c r="D183" s="1">
        <v>82699.0</v>
      </c>
      <c r="E183" s="1">
        <v>58425.0</v>
      </c>
      <c r="F183" s="1">
        <v>46870.0</v>
      </c>
      <c r="G183" s="1">
        <v>46263.0</v>
      </c>
      <c r="H183" s="1">
        <v>42176.0</v>
      </c>
      <c r="I183" s="1">
        <v>40285.0</v>
      </c>
    </row>
    <row r="184" ht="15.75" customHeight="1">
      <c r="A184" s="1" t="s">
        <v>190</v>
      </c>
      <c r="B184" s="1">
        <v>39635.0</v>
      </c>
      <c r="C184" s="1">
        <v>5780.0</v>
      </c>
      <c r="D184" s="1">
        <v>2900.0</v>
      </c>
      <c r="E184" s="1">
        <v>1409.0</v>
      </c>
      <c r="F184" s="1">
        <v>1108.0</v>
      </c>
      <c r="G184" s="1">
        <v>889.0</v>
      </c>
      <c r="H184" s="1">
        <v>729.0</v>
      </c>
      <c r="I184" s="1">
        <v>0.0</v>
      </c>
    </row>
    <row r="185" ht="15.75" customHeight="1">
      <c r="A185" s="1" t="s">
        <v>191</v>
      </c>
      <c r="B185" s="1">
        <v>5960.0</v>
      </c>
      <c r="C185" s="1">
        <v>6380.0</v>
      </c>
      <c r="D185" s="1">
        <v>5990.0</v>
      </c>
      <c r="E185" s="1">
        <v>3335.0</v>
      </c>
      <c r="F185" s="1">
        <v>1617.0</v>
      </c>
      <c r="G185" s="1">
        <v>1600.0</v>
      </c>
      <c r="H185" s="1">
        <v>1435.0</v>
      </c>
      <c r="I185" s="1">
        <v>0.0</v>
      </c>
    </row>
    <row r="186" ht="15.75" customHeight="1">
      <c r="A186" s="1" t="s">
        <v>192</v>
      </c>
      <c r="B186" s="1">
        <v>79658.0</v>
      </c>
      <c r="C186" s="1">
        <v>81900.0</v>
      </c>
      <c r="D186" s="1">
        <v>91589.0</v>
      </c>
      <c r="E186" s="1">
        <v>63169.0</v>
      </c>
      <c r="F186" s="1">
        <v>49595.0</v>
      </c>
      <c r="G186" s="1">
        <v>48752.0</v>
      </c>
      <c r="H186" s="1">
        <v>44340.0</v>
      </c>
      <c r="I186" s="1">
        <v>40285.0</v>
      </c>
    </row>
    <row r="187" ht="15.75" customHeight="1">
      <c r="A187" s="1" t="s">
        <v>193</v>
      </c>
      <c r="B187" s="1">
        <v>938458.0</v>
      </c>
      <c r="C187" s="1">
        <v>919596.0</v>
      </c>
      <c r="D187" s="1">
        <v>871102.0</v>
      </c>
      <c r="E187" s="1">
        <v>486381.0</v>
      </c>
      <c r="F187" s="1">
        <v>185223.0</v>
      </c>
      <c r="G187" s="1">
        <v>193878.0</v>
      </c>
      <c r="H187" s="1">
        <v>196923.0</v>
      </c>
      <c r="I187" s="1">
        <v>182462.0</v>
      </c>
    </row>
    <row r="188" ht="15.75" customHeight="1">
      <c r="A188" s="1" t="s">
        <v>194</v>
      </c>
      <c r="B188" s="1">
        <v>37282.0</v>
      </c>
      <c r="C188" s="1">
        <v>33337.0</v>
      </c>
      <c r="D188" s="1">
        <v>33064.0</v>
      </c>
      <c r="E188" s="1">
        <v>992.0</v>
      </c>
      <c r="F188" s="1">
        <v>0.0</v>
      </c>
      <c r="G188" s="1">
        <v>0.0</v>
      </c>
      <c r="H188" s="1">
        <v>1976.0</v>
      </c>
      <c r="I188" s="1">
        <v>1976.0</v>
      </c>
    </row>
    <row r="189" ht="15.75" customHeight="1">
      <c r="A189" s="1" t="s">
        <v>195</v>
      </c>
      <c r="B189" s="1">
        <v>879520.0</v>
      </c>
      <c r="C189" s="1">
        <v>866491.0</v>
      </c>
      <c r="D189" s="1">
        <v>822987.0</v>
      </c>
      <c r="E189" s="1">
        <v>469298.0</v>
      </c>
      <c r="F189" s="1">
        <v>171279.0</v>
      </c>
      <c r="G189" s="1">
        <v>180598.0</v>
      </c>
      <c r="H189" s="1">
        <v>182986.0</v>
      </c>
      <c r="I189" s="1">
        <v>172299.0</v>
      </c>
    </row>
    <row r="190" ht="15.75" customHeight="1">
      <c r="A190" s="1" t="s">
        <v>196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</row>
    <row r="191" ht="15.75" customHeight="1">
      <c r="A191" s="1" t="s">
        <v>197</v>
      </c>
      <c r="B191" s="1">
        <v>916802.0</v>
      </c>
      <c r="C191" s="1">
        <v>899828.0</v>
      </c>
      <c r="D191" s="1">
        <v>856051.0</v>
      </c>
      <c r="E191" s="1">
        <v>470290.0</v>
      </c>
      <c r="F191" s="1">
        <v>171279.0</v>
      </c>
      <c r="G191" s="1">
        <v>180598.0</v>
      </c>
      <c r="H191" s="1">
        <v>184962.0</v>
      </c>
      <c r="I191" s="1">
        <v>174275.0</v>
      </c>
    </row>
    <row r="192" ht="15.75" customHeight="1">
      <c r="A192" s="1" t="s">
        <v>198</v>
      </c>
      <c r="B192" s="1">
        <v>21656.0</v>
      </c>
      <c r="C192" s="1">
        <v>19768.0</v>
      </c>
      <c r="D192" s="1">
        <v>15051.0</v>
      </c>
      <c r="E192" s="1">
        <v>16091.0</v>
      </c>
      <c r="F192" s="1">
        <v>13944.0</v>
      </c>
      <c r="G192" s="1">
        <v>13280.0</v>
      </c>
      <c r="H192" s="1">
        <v>11961.0</v>
      </c>
      <c r="I192" s="1">
        <v>8187.0</v>
      </c>
    </row>
    <row r="193" ht="15.75" customHeight="1">
      <c r="A193" s="1" t="s">
        <v>199</v>
      </c>
      <c r="B193" s="1">
        <v>-141939.0</v>
      </c>
      <c r="C193" s="1">
        <v>135450.0</v>
      </c>
      <c r="D193" s="1">
        <v>-162139.0</v>
      </c>
      <c r="E193" s="1">
        <v>-79592.0</v>
      </c>
      <c r="F193" s="1">
        <v>76252.0</v>
      </c>
      <c r="G193" s="1">
        <v>-94059.0</v>
      </c>
      <c r="H193" s="1">
        <v>35037.0</v>
      </c>
      <c r="I193" s="1">
        <v>-61620.0</v>
      </c>
    </row>
    <row r="194" ht="15.75" customHeight="1">
      <c r="A194" s="1" t="s">
        <v>200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41042.0</v>
      </c>
    </row>
    <row r="195" ht="15.75" customHeight="1">
      <c r="A195" s="1" t="s">
        <v>201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</row>
    <row r="196" ht="15.75" customHeight="1">
      <c r="A196" s="1" t="s">
        <v>202</v>
      </c>
      <c r="B196" s="1">
        <v>52056.0</v>
      </c>
      <c r="C196" s="1">
        <v>64169.0</v>
      </c>
      <c r="D196" s="1">
        <v>60922.0</v>
      </c>
      <c r="E196" s="1">
        <v>46167.0</v>
      </c>
      <c r="F196" s="1">
        <v>38499.0</v>
      </c>
      <c r="G196" s="1">
        <v>146519.0</v>
      </c>
      <c r="H196" s="1">
        <v>177042.0</v>
      </c>
      <c r="I196" s="1">
        <v>268294.0</v>
      </c>
    </row>
    <row r="197" ht="15.75" customHeight="1">
      <c r="A197" s="1" t="s">
        <v>203</v>
      </c>
      <c r="B197" s="1">
        <v>1588849.0</v>
      </c>
      <c r="C197" s="1">
        <v>1117327.0</v>
      </c>
      <c r="D197" s="1">
        <v>963975.0</v>
      </c>
      <c r="E197" s="1">
        <v>1411257.0</v>
      </c>
      <c r="F197" s="1">
        <v>1351726.0</v>
      </c>
      <c r="G197" s="1">
        <v>1069627.0</v>
      </c>
      <c r="H197" s="1">
        <v>1052950.0</v>
      </c>
      <c r="I197" s="1">
        <v>635847.0</v>
      </c>
    </row>
    <row r="198" ht="15.75" customHeight="1">
      <c r="A198" s="1" t="s">
        <v>204</v>
      </c>
      <c r="B198" s="1">
        <v>4025765.0</v>
      </c>
      <c r="C198" s="1">
        <v>3592990.0</v>
      </c>
      <c r="D198" s="1">
        <v>3437527.0</v>
      </c>
      <c r="E198" s="1">
        <v>3376862.0</v>
      </c>
      <c r="F198" s="1">
        <v>2828388.0</v>
      </c>
      <c r="G198" s="1">
        <v>2539621.0</v>
      </c>
      <c r="H198" s="1">
        <v>2345909.0</v>
      </c>
      <c r="I198" s="1">
        <v>1722923.0</v>
      </c>
    </row>
    <row r="199" ht="15.75" customHeight="1">
      <c r="A199" s="1" t="s">
        <v>205</v>
      </c>
      <c r="B199" s="1">
        <v>-501648.0</v>
      </c>
      <c r="C199" s="1">
        <v>-526256.0</v>
      </c>
      <c r="D199" s="1">
        <v>-253466.0</v>
      </c>
      <c r="E199" s="1">
        <v>-207017.0</v>
      </c>
      <c r="F199" s="1">
        <v>-158955.0</v>
      </c>
      <c r="G199" s="1">
        <v>-98799.0</v>
      </c>
      <c r="H199" s="1">
        <v>-101816.0</v>
      </c>
      <c r="I199" s="1">
        <v>-102408.0</v>
      </c>
    </row>
    <row r="200" ht="15.75" customHeight="1">
      <c r="A200" s="1" t="s">
        <v>206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</row>
    <row r="201" ht="15.75" customHeight="1">
      <c r="A201" s="1" t="s">
        <v>207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</row>
    <row r="202" ht="15.75" customHeight="1">
      <c r="A202" s="1" t="s">
        <v>208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</row>
    <row r="203" ht="15.75" customHeight="1">
      <c r="A203" s="1" t="s">
        <v>209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</row>
    <row r="204" ht="15.75" customHeight="1">
      <c r="A204" s="1" t="s">
        <v>210</v>
      </c>
      <c r="B204" s="1">
        <v>1756.0</v>
      </c>
      <c r="C204" s="1">
        <v>2087.0</v>
      </c>
      <c r="D204" s="1">
        <v>208.0</v>
      </c>
      <c r="E204" s="1">
        <v>391.0</v>
      </c>
      <c r="F204" s="1">
        <v>205.0</v>
      </c>
      <c r="G204" s="1">
        <v>4131.0</v>
      </c>
      <c r="H204" s="1">
        <v>185.0</v>
      </c>
      <c r="I204" s="1">
        <v>99.0</v>
      </c>
    </row>
    <row r="205" ht="15.75" customHeight="1">
      <c r="A205" s="1" t="s">
        <v>211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</row>
    <row r="206" ht="15.75" customHeight="1">
      <c r="A206" s="1" t="s">
        <v>207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</row>
    <row r="207" ht="15.75" customHeight="1">
      <c r="A207" s="1" t="s">
        <v>209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</row>
    <row r="208" ht="15.75" customHeight="1">
      <c r="A208" s="1" t="s">
        <v>212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</row>
    <row r="209" ht="15.75" customHeight="1">
      <c r="A209" s="1" t="s">
        <v>213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</row>
    <row r="210" ht="15.75" customHeight="1">
      <c r="A210" s="1" t="s">
        <v>214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</row>
    <row r="211" ht="15.75" customHeight="1">
      <c r="A211" s="1" t="s">
        <v>215</v>
      </c>
      <c r="B211" s="1">
        <v>1756.0</v>
      </c>
      <c r="C211" s="1">
        <v>2087.0</v>
      </c>
      <c r="D211" s="1">
        <v>208.0</v>
      </c>
      <c r="E211" s="1">
        <v>391.0</v>
      </c>
      <c r="F211" s="1">
        <v>205.0</v>
      </c>
      <c r="G211" s="1">
        <v>4131.0</v>
      </c>
      <c r="H211" s="1">
        <v>185.0</v>
      </c>
      <c r="I211" s="1">
        <v>99.0</v>
      </c>
    </row>
    <row r="212" ht="15.75" customHeight="1">
      <c r="A212" s="1" t="s">
        <v>216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</row>
    <row r="213" ht="15.75" customHeight="1">
      <c r="A213" s="1" t="s">
        <v>209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</row>
    <row r="214" ht="15.75" customHeight="1">
      <c r="A214" s="1" t="s">
        <v>217</v>
      </c>
      <c r="B214" s="1">
        <v>503404.0</v>
      </c>
      <c r="C214" s="1">
        <v>528343.0</v>
      </c>
      <c r="D214" s="1">
        <v>253674.0</v>
      </c>
      <c r="E214" s="1">
        <v>207408.0</v>
      </c>
      <c r="F214" s="1">
        <v>159160.0</v>
      </c>
      <c r="G214" s="1">
        <v>102930.0</v>
      </c>
      <c r="H214" s="1">
        <v>102001.0</v>
      </c>
      <c r="I214" s="1">
        <v>102507.0</v>
      </c>
    </row>
    <row r="215" ht="15.75" customHeight="1">
      <c r="A215" s="1" t="s">
        <v>207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</row>
    <row r="216" ht="15.75" customHeight="1">
      <c r="A216" s="1" t="s">
        <v>209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</row>
    <row r="217" ht="15.75" customHeight="1">
      <c r="A217" s="1" t="s">
        <v>218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</row>
    <row r="218" ht="15.75" customHeight="1">
      <c r="A218" s="1" t="s">
        <v>219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</row>
    <row r="219" ht="15.75" customHeight="1">
      <c r="A219" s="1" t="s">
        <v>220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</row>
    <row r="220" ht="15.75" customHeight="1">
      <c r="A220" s="1" t="s">
        <v>221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</row>
    <row r="221" ht="15.75" customHeight="1">
      <c r="A221" s="1" t="s">
        <v>222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</row>
    <row r="222" ht="15.75" customHeight="1">
      <c r="A222" s="1" t="s">
        <v>223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</row>
    <row r="223" ht="15.75" customHeight="1">
      <c r="A223" s="1" t="s">
        <v>224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</row>
    <row r="224" ht="15.75" customHeight="1">
      <c r="A224" s="1" t="s">
        <v>225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</row>
    <row r="225" ht="15.75" customHeight="1">
      <c r="A225" s="1" t="s">
        <v>226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</row>
    <row r="226" ht="15.75" customHeight="1">
      <c r="A226" s="1" t="s">
        <v>227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</row>
    <row r="227" ht="15.75" customHeight="1">
      <c r="A227" s="1" t="s">
        <v>228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</row>
    <row r="228" ht="15.75" customHeight="1">
      <c r="A228" s="1" t="s">
        <v>229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</row>
    <row r="229" ht="15.75" customHeight="1">
      <c r="A229" s="1" t="s">
        <v>230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</row>
    <row r="230" ht="15.75" customHeight="1">
      <c r="A230" s="1" t="s">
        <v>231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</row>
    <row r="231" ht="15.75" customHeight="1">
      <c r="A231" s="1" t="s">
        <v>232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</row>
    <row r="232" ht="15.75" customHeight="1">
      <c r="A232" s="1" t="s">
        <v>233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</row>
    <row r="233" ht="15.75" customHeight="1">
      <c r="A233" s="1" t="s">
        <v>234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</row>
    <row r="234" ht="15.75" customHeight="1">
      <c r="A234" s="1" t="s">
        <v>235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</row>
    <row r="235" ht="15.75" customHeight="1">
      <c r="A235" s="1" t="s">
        <v>236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</row>
    <row r="236" ht="15.75" customHeight="1">
      <c r="A236" s="1" t="s">
        <v>237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</row>
    <row r="237" ht="15.75" customHeight="1">
      <c r="A237" s="1" t="s">
        <v>238</v>
      </c>
      <c r="B237" s="1">
        <v>1087201.0</v>
      </c>
      <c r="C237" s="1">
        <v>591071.0</v>
      </c>
      <c r="D237" s="1">
        <v>710509.0</v>
      </c>
      <c r="E237" s="1">
        <v>1204240.0</v>
      </c>
      <c r="F237" s="1">
        <v>1192771.0</v>
      </c>
      <c r="G237" s="1">
        <v>970828.0</v>
      </c>
      <c r="H237" s="1">
        <v>951134.0</v>
      </c>
      <c r="I237" s="1">
        <v>533439.0</v>
      </c>
    </row>
    <row r="238" ht="15.75" customHeight="1">
      <c r="A238" s="1" t="s">
        <v>239</v>
      </c>
      <c r="B238" s="1">
        <v>187468.0</v>
      </c>
      <c r="C238" s="1">
        <v>24404.0</v>
      </c>
      <c r="D238" s="1">
        <v>31928.0</v>
      </c>
      <c r="E238" s="1">
        <v>242937.0</v>
      </c>
      <c r="F238" s="1">
        <v>271489.0</v>
      </c>
      <c r="G238" s="1">
        <v>219192.0</v>
      </c>
      <c r="H238" s="1">
        <v>280709.0</v>
      </c>
      <c r="I238" s="1">
        <v>168693.0</v>
      </c>
    </row>
    <row r="239" ht="15.75" customHeight="1">
      <c r="A239" s="1" t="s">
        <v>240</v>
      </c>
      <c r="B239" s="1">
        <v>187468.0</v>
      </c>
      <c r="C239" s="1">
        <v>21620.0</v>
      </c>
      <c r="D239" s="1">
        <v>31928.0</v>
      </c>
      <c r="E239" s="1">
        <v>242937.0</v>
      </c>
      <c r="F239" s="1">
        <v>271489.0</v>
      </c>
      <c r="G239" s="1">
        <v>220987.0</v>
      </c>
      <c r="H239" s="1">
        <v>281130.0</v>
      </c>
      <c r="I239" s="1">
        <v>168693.0</v>
      </c>
    </row>
    <row r="240" ht="15.75" customHeight="1">
      <c r="A240" s="1" t="s">
        <v>241</v>
      </c>
      <c r="B240" s="1">
        <v>0.0</v>
      </c>
      <c r="C240" s="1">
        <v>2784.0</v>
      </c>
      <c r="D240" s="1">
        <v>0.0</v>
      </c>
      <c r="E240" s="1">
        <v>0.0</v>
      </c>
      <c r="F240" s="1">
        <v>0.0</v>
      </c>
      <c r="G240" s="1">
        <v>-1795.0</v>
      </c>
      <c r="H240" s="1">
        <v>-421.0</v>
      </c>
      <c r="I240" s="1">
        <v>0.0</v>
      </c>
    </row>
    <row r="241" ht="15.75" customHeight="1">
      <c r="A241" s="1" t="s">
        <v>242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</row>
    <row r="242" ht="15.75" customHeight="1">
      <c r="A242" s="1" t="s">
        <v>243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</row>
    <row r="243" ht="15.75" customHeight="1">
      <c r="A243" s="1" t="s">
        <v>244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</row>
    <row r="244" ht="15.75" customHeight="1">
      <c r="A244" s="1" t="s">
        <v>245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</row>
    <row r="245" ht="15.75" customHeight="1">
      <c r="A245" s="1" t="s">
        <v>246</v>
      </c>
      <c r="B245" s="1">
        <v>899733.0</v>
      </c>
      <c r="C245" s="1">
        <v>566667.0</v>
      </c>
      <c r="D245" s="1">
        <v>678581.0</v>
      </c>
      <c r="E245" s="1">
        <v>961303.0</v>
      </c>
      <c r="F245" s="1">
        <v>921282.0</v>
      </c>
      <c r="G245" s="1">
        <v>751636.0</v>
      </c>
      <c r="H245" s="1">
        <v>670425.0</v>
      </c>
      <c r="I245" s="1">
        <v>364746.0</v>
      </c>
    </row>
    <row r="246" ht="15.75" customHeight="1">
      <c r="A246" s="1" t="s">
        <v>247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</row>
    <row r="247" ht="15.75" customHeight="1">
      <c r="A247" s="1" t="s">
        <v>248</v>
      </c>
    </row>
    <row r="248" ht="15.75" customHeight="1">
      <c r="A248" s="1" t="s">
        <v>249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38"/>
    <col customWidth="1" min="2" max="9" width="14.75"/>
    <col customWidth="1" min="10" max="10" width="1.75"/>
    <col customWidth="1" min="11" max="11" width="2.75"/>
    <col customWidth="1" min="12" max="12" width="29.63"/>
    <col customWidth="1" min="13" max="13" width="17.88"/>
    <col customWidth="1" min="14" max="26" width="9.5"/>
  </cols>
  <sheetData>
    <row r="1" ht="18.75" customHeight="1">
      <c r="A1" s="2" t="s">
        <v>250</v>
      </c>
      <c r="B1" s="3" t="str">
        <f>aida!B1</f>
        <v>31/12/2024</v>
      </c>
      <c r="C1" s="3" t="str">
        <f>aida!C1</f>
        <v>31/12/2023</v>
      </c>
      <c r="D1" s="3" t="str">
        <f>aida!D1</f>
        <v>31/12/2022</v>
      </c>
      <c r="E1" s="3" t="str">
        <f>aida!E1</f>
        <v>31/12/2021</v>
      </c>
      <c r="F1" s="3" t="str">
        <f>aida!F1</f>
        <v>31/12/2020</v>
      </c>
      <c r="G1" s="3" t="str">
        <f>aida!G1</f>
        <v>31/12/2019</v>
      </c>
      <c r="H1" s="3" t="str">
        <f>aida!H1</f>
        <v>31/12/2018</v>
      </c>
      <c r="I1" s="3" t="str">
        <f>aida!I1</f>
        <v>31/12/2017</v>
      </c>
      <c r="J1" s="4"/>
      <c r="K1" s="5" t="s">
        <v>251</v>
      </c>
      <c r="L1" s="4" t="s">
        <v>252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6"/>
      <c r="Z1" s="6"/>
    </row>
    <row r="2" ht="13.5" customHeight="1">
      <c r="A2" s="7" t="str">
        <f>aida!A2</f>
        <v>A. CREDITI VERSO SOCI</v>
      </c>
      <c r="B2" s="8">
        <f>$K2*aida!B2</f>
        <v>0</v>
      </c>
      <c r="C2" s="8">
        <f>$K2*aida!C2</f>
        <v>0</v>
      </c>
      <c r="D2" s="8">
        <f>$K2*aida!D2</f>
        <v>0</v>
      </c>
      <c r="E2" s="8">
        <f>$K2*aida!E2</f>
        <v>0</v>
      </c>
      <c r="F2" s="8">
        <f>$K2*aida!F2</f>
        <v>0</v>
      </c>
      <c r="G2" s="8">
        <f>$K2*aida!G2</f>
        <v>0</v>
      </c>
      <c r="H2" s="8">
        <f>$K2*aida!H2</f>
        <v>0</v>
      </c>
      <c r="I2" s="8">
        <f>$K2*aida!I2</f>
        <v>0</v>
      </c>
      <c r="J2" s="9"/>
      <c r="K2" s="9">
        <v>-1.0</v>
      </c>
      <c r="L2" s="9" t="s">
        <v>253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0" t="str">
        <f>aida!A3</f>
        <v>Quota di capitale richiamata</v>
      </c>
      <c r="B3" s="11">
        <f>$K3*aida!B3</f>
        <v>0</v>
      </c>
      <c r="C3" s="11">
        <f>$K3*aida!C3</f>
        <v>0</v>
      </c>
      <c r="D3" s="11">
        <f>$K3*aida!D3</f>
        <v>0</v>
      </c>
      <c r="E3" s="11">
        <f>$K3*aida!E3</f>
        <v>0</v>
      </c>
      <c r="F3" s="11">
        <f>$K3*aida!F3</f>
        <v>0</v>
      </c>
      <c r="G3" s="11">
        <f>$K3*aida!G3</f>
        <v>0</v>
      </c>
      <c r="H3" s="11">
        <f>$K3*aida!H3</f>
        <v>0</v>
      </c>
      <c r="I3" s="11">
        <f>$K3*aida!I3</f>
        <v>0</v>
      </c>
      <c r="J3" s="12"/>
      <c r="K3" s="12">
        <v>1.0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0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7" t="str">
        <f>aida!A4</f>
        <v>B. TOTALE IMMOBILIZZAZIONI sep.ind. Di quelle conc. In loc. Finanz.</v>
      </c>
      <c r="B5" s="8">
        <f>$K5*aida!B4</f>
        <v>8842950</v>
      </c>
      <c r="C5" s="8">
        <f>$K5*aida!C4</f>
        <v>9182852</v>
      </c>
      <c r="D5" s="8">
        <f>$K5*aida!D4</f>
        <v>9614947</v>
      </c>
      <c r="E5" s="8">
        <f>$K5*aida!E4</f>
        <v>9565702</v>
      </c>
      <c r="F5" s="8">
        <f>$K5*aida!F4</f>
        <v>7073181</v>
      </c>
      <c r="G5" s="8">
        <f>$K5*aida!G4</f>
        <v>2616289</v>
      </c>
      <c r="H5" s="8">
        <f>$K5*aida!H4</f>
        <v>1201123</v>
      </c>
      <c r="I5" s="8">
        <f>$K5*aida!I4</f>
        <v>908499</v>
      </c>
      <c r="J5" s="9"/>
      <c r="K5" s="9">
        <v>1.0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10" t="str">
        <f>aida!A5</f>
        <v>B.I. TOTALE IMMOB. IMMATERIALI</v>
      </c>
      <c r="B6" s="11">
        <f>$K6*aida!B5</f>
        <v>89523</v>
      </c>
      <c r="C6" s="11">
        <f>$K6*aida!C5</f>
        <v>106380</v>
      </c>
      <c r="D6" s="11">
        <f>$K6*aida!D5</f>
        <v>139717</v>
      </c>
      <c r="E6" s="11">
        <f>$K6*aida!E5</f>
        <v>76490</v>
      </c>
      <c r="F6" s="11">
        <f>$K6*aida!F5</f>
        <v>33453</v>
      </c>
      <c r="G6" s="11">
        <f>$K6*aida!G5</f>
        <v>7543</v>
      </c>
      <c r="H6" s="11">
        <f>$K6*aida!H5</f>
        <v>0</v>
      </c>
      <c r="I6" s="11">
        <f>$K6*aida!I5</f>
        <v>1977</v>
      </c>
      <c r="J6" s="12"/>
      <c r="K6" s="12">
        <v>1.0</v>
      </c>
      <c r="L6" s="12" t="s">
        <v>254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10" t="str">
        <f>aida!A6</f>
        <v>B.I.1. Costi impianto e ampl.</v>
      </c>
      <c r="B7" s="11">
        <f>$K7*aida!B6</f>
        <v>0</v>
      </c>
      <c r="C7" s="11">
        <f>$K7*aida!C6</f>
        <v>0</v>
      </c>
      <c r="D7" s="11">
        <f>$K7*aida!D6</f>
        <v>0</v>
      </c>
      <c r="E7" s="11">
        <f>$K7*aida!E6</f>
        <v>0</v>
      </c>
      <c r="F7" s="11">
        <f>$K7*aida!F6</f>
        <v>0</v>
      </c>
      <c r="G7" s="11">
        <f>$K7*aida!G6</f>
        <v>0</v>
      </c>
      <c r="H7" s="11">
        <f>$K7*aida!H6</f>
        <v>0</v>
      </c>
      <c r="I7" s="11">
        <f>$K7*aida!I6</f>
        <v>0</v>
      </c>
      <c r="J7" s="12"/>
      <c r="K7" s="12">
        <v>1.0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10" t="str">
        <f>aida!A7</f>
        <v>B.I.2. Costi ricerca e pubb.</v>
      </c>
      <c r="B8" s="11">
        <f>$K8*aida!B7</f>
        <v>0</v>
      </c>
      <c r="C8" s="11">
        <f>$K8*aida!C7</f>
        <v>0</v>
      </c>
      <c r="D8" s="11">
        <f>$K8*aida!D7</f>
        <v>0</v>
      </c>
      <c r="E8" s="11">
        <f>$K8*aida!E7</f>
        <v>0</v>
      </c>
      <c r="F8" s="11">
        <f>$K8*aida!F7</f>
        <v>0</v>
      </c>
      <c r="G8" s="11">
        <f>$K8*aida!G7</f>
        <v>0</v>
      </c>
      <c r="H8" s="11">
        <f>$K8*aida!H7</f>
        <v>0</v>
      </c>
      <c r="I8" s="11">
        <f>$K8*aida!I7</f>
        <v>0</v>
      </c>
      <c r="J8" s="12"/>
      <c r="K8" s="12">
        <v>1.0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10" t="str">
        <f>aida!A8</f>
        <v>B.I.3. Diritti brevetto ind.</v>
      </c>
      <c r="B9" s="11">
        <f>$K9*aida!B8</f>
        <v>64590</v>
      </c>
      <c r="C9" s="11">
        <f>$K9*aida!C8</f>
        <v>97381</v>
      </c>
      <c r="D9" s="11">
        <f>$K9*aida!D8</f>
        <v>130172</v>
      </c>
      <c r="E9" s="11">
        <f>$K9*aida!E8</f>
        <v>3968</v>
      </c>
      <c r="F9" s="11">
        <f>$K9*aida!F8</f>
        <v>4960</v>
      </c>
      <c r="G9" s="11">
        <f>$K9*aida!G8</f>
        <v>0</v>
      </c>
      <c r="H9" s="11">
        <f>$K9*aida!H8</f>
        <v>0</v>
      </c>
      <c r="I9" s="11">
        <f>$K9*aida!I8</f>
        <v>0</v>
      </c>
      <c r="J9" s="12"/>
      <c r="K9" s="12">
        <v>1.0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0" t="str">
        <f>aida!A9</f>
        <v>B.I.4. Concessioni, licenze</v>
      </c>
      <c r="B10" s="11">
        <f>$K10*aida!B9</f>
        <v>8453</v>
      </c>
      <c r="C10" s="11">
        <f>$K10*aida!C9</f>
        <v>8999</v>
      </c>
      <c r="D10" s="11">
        <f>$K10*aida!D9</f>
        <v>9545</v>
      </c>
      <c r="E10" s="11">
        <f>$K10*aida!E9</f>
        <v>0</v>
      </c>
      <c r="F10" s="11">
        <f>$K10*aida!F9</f>
        <v>0</v>
      </c>
      <c r="G10" s="11">
        <f>$K10*aida!G9</f>
        <v>0</v>
      </c>
      <c r="H10" s="11">
        <f>$K10*aida!H9</f>
        <v>0</v>
      </c>
      <c r="I10" s="11">
        <f>$K10*aida!I9</f>
        <v>0</v>
      </c>
      <c r="J10" s="12"/>
      <c r="K10" s="12">
        <v>1.0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0" t="str">
        <f>aida!A10</f>
        <v>B.I.5. Avviamento/Differenza di consolidamento</v>
      </c>
      <c r="B11" s="11">
        <f>$K11*aida!B10</f>
        <v>0</v>
      </c>
      <c r="C11" s="11">
        <f>$K11*aida!C10</f>
        <v>0</v>
      </c>
      <c r="D11" s="11">
        <f>$K11*aida!D10</f>
        <v>0</v>
      </c>
      <c r="E11" s="11">
        <f>$K11*aida!E10</f>
        <v>0</v>
      </c>
      <c r="F11" s="11">
        <f>$K11*aida!F10</f>
        <v>0</v>
      </c>
      <c r="G11" s="11">
        <f>$K11*aida!G10</f>
        <v>0</v>
      </c>
      <c r="H11" s="11">
        <f>$K11*aida!H10</f>
        <v>0</v>
      </c>
      <c r="I11" s="11">
        <f>$K11*aida!I10</f>
        <v>0</v>
      </c>
      <c r="J11" s="12"/>
      <c r="K11" s="12">
        <v>1.0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0" t="str">
        <f>aida!A11</f>
        <v>di cui: Avviamento</v>
      </c>
      <c r="B12" s="11">
        <f>$K12*aida!B11</f>
        <v>0</v>
      </c>
      <c r="C12" s="11">
        <f>$K12*aida!C11</f>
        <v>0</v>
      </c>
      <c r="D12" s="11">
        <f>$K12*aida!D11</f>
        <v>0</v>
      </c>
      <c r="E12" s="11">
        <f>$K12*aida!E11</f>
        <v>0</v>
      </c>
      <c r="F12" s="11">
        <f>$K12*aida!F11</f>
        <v>0</v>
      </c>
      <c r="G12" s="11">
        <f>$K12*aida!G11</f>
        <v>0</v>
      </c>
      <c r="H12" s="11">
        <f>$K12*aida!H11</f>
        <v>0</v>
      </c>
      <c r="I12" s="11">
        <f>$K12*aida!I11</f>
        <v>0</v>
      </c>
      <c r="J12" s="12"/>
      <c r="K12" s="12">
        <v>1.0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0" t="str">
        <f>aida!A12</f>
        <v>B.I.6. Imm. in corso</v>
      </c>
      <c r="B13" s="11">
        <f>$K13*aida!B12</f>
        <v>0</v>
      </c>
      <c r="C13" s="11">
        <f>$K13*aida!C12</f>
        <v>0</v>
      </c>
      <c r="D13" s="11">
        <f>$K13*aida!D12</f>
        <v>0</v>
      </c>
      <c r="E13" s="11">
        <f>$K13*aida!E12</f>
        <v>67622</v>
      </c>
      <c r="F13" s="11">
        <f>$K13*aida!F12</f>
        <v>28493</v>
      </c>
      <c r="G13" s="11">
        <f>$K13*aida!G12</f>
        <v>7543</v>
      </c>
      <c r="H13" s="11">
        <f>$K13*aida!H12</f>
        <v>0</v>
      </c>
      <c r="I13" s="11">
        <f>$K13*aida!I12</f>
        <v>0</v>
      </c>
      <c r="J13" s="12"/>
      <c r="K13" s="12">
        <v>1.0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0" t="str">
        <f>aida!A13</f>
        <v>B.I.7. Altre immobiliz. Immateriali</v>
      </c>
      <c r="B14" s="11">
        <f>$K14*aida!B13</f>
        <v>16480</v>
      </c>
      <c r="C14" s="11">
        <f>$K14*aida!C13</f>
        <v>0</v>
      </c>
      <c r="D14" s="11">
        <f>$K14*aida!D13</f>
        <v>0</v>
      </c>
      <c r="E14" s="11">
        <f>$K14*aida!E13</f>
        <v>4900</v>
      </c>
      <c r="F14" s="11">
        <f>$K14*aida!F13</f>
        <v>0</v>
      </c>
      <c r="G14" s="11">
        <f>$K14*aida!G13</f>
        <v>0</v>
      </c>
      <c r="H14" s="11">
        <f>$K14*aida!H13</f>
        <v>0</v>
      </c>
      <c r="I14" s="11">
        <f>$K14*aida!I13</f>
        <v>1977</v>
      </c>
      <c r="J14" s="12"/>
      <c r="K14" s="12">
        <v>1.0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0" t="str">
        <f>aida!A14</f>
        <v>Fondo amm.to Immob. Immateriali</v>
      </c>
      <c r="B15" s="11">
        <f>$K15*aida!B14</f>
        <v>0</v>
      </c>
      <c r="C15" s="11">
        <f>$K15*aida!C14</f>
        <v>0</v>
      </c>
      <c r="D15" s="11">
        <f>$K15*aida!D14</f>
        <v>0</v>
      </c>
      <c r="E15" s="11">
        <f>$K15*aida!E14</f>
        <v>0</v>
      </c>
      <c r="F15" s="11">
        <f>$K15*aida!F14</f>
        <v>0</v>
      </c>
      <c r="G15" s="11">
        <f>$K15*aida!G14</f>
        <v>0</v>
      </c>
      <c r="H15" s="11">
        <f>$K15*aida!H14</f>
        <v>0</v>
      </c>
      <c r="I15" s="11">
        <f>$K15*aida!I14</f>
        <v>0</v>
      </c>
      <c r="J15" s="12"/>
      <c r="K15" s="12">
        <v>1.0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0" t="str">
        <f>aida!A15</f>
        <v>B.II. TOTALE IMMOB. MATERIALI</v>
      </c>
      <c r="B16" s="11">
        <f>$K16*aida!B15</f>
        <v>8694725</v>
      </c>
      <c r="C16" s="11">
        <f>$K16*aida!C15</f>
        <v>9017770</v>
      </c>
      <c r="D16" s="11">
        <f>$K16*aida!D15</f>
        <v>9416528</v>
      </c>
      <c r="E16" s="11">
        <f>$K16*aida!E15</f>
        <v>9430510</v>
      </c>
      <c r="F16" s="11">
        <f>$K16*aida!F15</f>
        <v>7025024</v>
      </c>
      <c r="G16" s="11">
        <f>$K16*aida!G15</f>
        <v>2594042</v>
      </c>
      <c r="H16" s="11">
        <f>$K16*aida!H15</f>
        <v>1186419</v>
      </c>
      <c r="I16" s="11">
        <f>$K16*aida!I15</f>
        <v>891818</v>
      </c>
      <c r="J16" s="12"/>
      <c r="K16" s="12">
        <v>1.0</v>
      </c>
      <c r="L16" s="12" t="s">
        <v>255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0" t="str">
        <f>aida!A16</f>
        <v>di cui: Beni materiali concessi in locazione finanziaria</v>
      </c>
      <c r="B17" s="11">
        <f>$K17*aida!B16</f>
        <v>0</v>
      </c>
      <c r="C17" s="11">
        <f>$K17*aida!C16</f>
        <v>0</v>
      </c>
      <c r="D17" s="11">
        <f>$K17*aida!D16</f>
        <v>0</v>
      </c>
      <c r="E17" s="11">
        <f>$K17*aida!E16</f>
        <v>0</v>
      </c>
      <c r="F17" s="11">
        <f>$K17*aida!F16</f>
        <v>0</v>
      </c>
      <c r="G17" s="11">
        <f>$K17*aida!G16</f>
        <v>0</v>
      </c>
      <c r="H17" s="11">
        <f>$K17*aida!H16</f>
        <v>0</v>
      </c>
      <c r="I17" s="11">
        <f>$K17*aida!I16</f>
        <v>0</v>
      </c>
      <c r="J17" s="12"/>
      <c r="K17" s="12">
        <v>1.0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0" t="str">
        <f>aida!A17</f>
        <v>B.II.1. Terreni e fabbricati</v>
      </c>
      <c r="B18" s="11">
        <f>$K18*aida!B17</f>
        <v>6069102</v>
      </c>
      <c r="C18" s="11">
        <f>$K18*aida!C17</f>
        <v>6328571</v>
      </c>
      <c r="D18" s="11">
        <f>$K18*aida!D17</f>
        <v>6543383</v>
      </c>
      <c r="E18" s="11">
        <f>$K18*aida!E17</f>
        <v>6374984</v>
      </c>
      <c r="F18" s="11">
        <f>$K18*aida!F17</f>
        <v>396319</v>
      </c>
      <c r="G18" s="11">
        <f>$K18*aida!G17</f>
        <v>412628</v>
      </c>
      <c r="H18" s="11">
        <f>$K18*aida!H17</f>
        <v>418736</v>
      </c>
      <c r="I18" s="11">
        <f>$K18*aida!I17</f>
        <v>324645</v>
      </c>
      <c r="J18" s="12"/>
      <c r="K18" s="12">
        <v>1.0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0" t="str">
        <f>aida!A18</f>
        <v>B.II.2. Impianti</v>
      </c>
      <c r="B19" s="11">
        <f>$K19*aida!B18</f>
        <v>1774810</v>
      </c>
      <c r="C19" s="11">
        <f>$K19*aida!C18</f>
        <v>2137598</v>
      </c>
      <c r="D19" s="11">
        <f>$K19*aida!D18</f>
        <v>2352511</v>
      </c>
      <c r="E19" s="11">
        <f>$K19*aida!E18</f>
        <v>2232169</v>
      </c>
      <c r="F19" s="11">
        <f>$K19*aida!F18</f>
        <v>1801043</v>
      </c>
      <c r="G19" s="11">
        <f>$K19*aida!G18</f>
        <v>258024</v>
      </c>
      <c r="H19" s="11">
        <f>$K19*aida!H18</f>
        <v>302043</v>
      </c>
      <c r="I19" s="11">
        <f>$K19*aida!I18</f>
        <v>336024</v>
      </c>
      <c r="J19" s="12"/>
      <c r="K19" s="12">
        <v>1.0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0" t="str">
        <f>aida!A19</f>
        <v>B.II.3. Attrez. industriali</v>
      </c>
      <c r="B20" s="11">
        <f>$K20*aida!B19</f>
        <v>197170</v>
      </c>
      <c r="C20" s="11">
        <f>$K20*aida!C19</f>
        <v>187192</v>
      </c>
      <c r="D20" s="11">
        <f>$K20*aida!D19</f>
        <v>184756</v>
      </c>
      <c r="E20" s="11">
        <f>$K20*aida!E19</f>
        <v>168289</v>
      </c>
      <c r="F20" s="11">
        <f>$K20*aida!F19</f>
        <v>141111</v>
      </c>
      <c r="G20" s="11">
        <f>$K20*aida!G19</f>
        <v>110856</v>
      </c>
      <c r="H20" s="11">
        <f>$K20*aida!H19</f>
        <v>130147</v>
      </c>
      <c r="I20" s="11">
        <f>$K20*aida!I19</f>
        <v>133231</v>
      </c>
      <c r="J20" s="12"/>
      <c r="K20" s="12">
        <v>1.0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0" t="str">
        <f>aida!A20</f>
        <v>B.II.4. Altri beni</v>
      </c>
      <c r="B21" s="11">
        <f>$K21*aida!B20</f>
        <v>177873</v>
      </c>
      <c r="C21" s="11">
        <f>$K21*aida!C20</f>
        <v>244518</v>
      </c>
      <c r="D21" s="11">
        <f>$K21*aida!D20</f>
        <v>312178</v>
      </c>
      <c r="E21" s="11">
        <f>$K21*aida!E20</f>
        <v>236539</v>
      </c>
      <c r="F21" s="11">
        <f>$K21*aida!F20</f>
        <v>116965</v>
      </c>
      <c r="G21" s="11">
        <f>$K21*aida!G20</f>
        <v>45295</v>
      </c>
      <c r="H21" s="11">
        <f>$K21*aida!H20</f>
        <v>68843</v>
      </c>
      <c r="I21" s="11">
        <f>$K21*aida!I20</f>
        <v>97918</v>
      </c>
      <c r="J21" s="12"/>
      <c r="K21" s="12">
        <v>1.0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0" t="str">
        <f>aida!A21</f>
        <v>B.II.5. Imm. in corso/acconti</v>
      </c>
      <c r="B22" s="11">
        <f>$K22*aida!B21</f>
        <v>475770</v>
      </c>
      <c r="C22" s="11">
        <f>$K22*aida!C21</f>
        <v>119891</v>
      </c>
      <c r="D22" s="11">
        <f>$K22*aida!D21</f>
        <v>23700</v>
      </c>
      <c r="E22" s="11">
        <f>$K22*aida!E21</f>
        <v>418529</v>
      </c>
      <c r="F22" s="11">
        <f>$K22*aida!F21</f>
        <v>4569586</v>
      </c>
      <c r="G22" s="11">
        <f>$K22*aida!G21</f>
        <v>1767239</v>
      </c>
      <c r="H22" s="11">
        <f>$K22*aida!H21</f>
        <v>266650</v>
      </c>
      <c r="I22" s="11">
        <f>$K22*aida!I21</f>
        <v>0</v>
      </c>
      <c r="J22" s="12"/>
      <c r="K22" s="12">
        <v>1.0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0" t="str">
        <f>aida!A22</f>
        <v>Fondo amm.to Immob. Materiali</v>
      </c>
      <c r="B23" s="11">
        <f>$K23*aida!B22</f>
        <v>0</v>
      </c>
      <c r="C23" s="11">
        <f>$K23*aida!C22</f>
        <v>0</v>
      </c>
      <c r="D23" s="11">
        <f>$K23*aida!D22</f>
        <v>0</v>
      </c>
      <c r="E23" s="11">
        <f>$K23*aida!E22</f>
        <v>0</v>
      </c>
      <c r="F23" s="11">
        <f>$K23*aida!F22</f>
        <v>0</v>
      </c>
      <c r="G23" s="11">
        <f>$K23*aida!G22</f>
        <v>0</v>
      </c>
      <c r="H23" s="11">
        <f>$K23*aida!H22</f>
        <v>0</v>
      </c>
      <c r="I23" s="11">
        <f>$K23*aida!I22</f>
        <v>0</v>
      </c>
      <c r="J23" s="12"/>
      <c r="K23" s="12">
        <v>1.0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0" t="str">
        <f>aida!A23</f>
        <v>B.III. TOTALE IMMOB. FINANZIARIE</v>
      </c>
      <c r="B24" s="11">
        <f>$K24*aida!B23</f>
        <v>58702</v>
      </c>
      <c r="C24" s="11">
        <f>$K24*aida!C23</f>
        <v>58702</v>
      </c>
      <c r="D24" s="11">
        <f>$K24*aida!D23</f>
        <v>58702</v>
      </c>
      <c r="E24" s="11">
        <f>$K24*aida!E23</f>
        <v>58702</v>
      </c>
      <c r="F24" s="11">
        <f>$K24*aida!F23</f>
        <v>14704</v>
      </c>
      <c r="G24" s="11">
        <f>$K24*aida!G23</f>
        <v>14704</v>
      </c>
      <c r="H24" s="11">
        <f>$K24*aida!H23</f>
        <v>14704</v>
      </c>
      <c r="I24" s="11">
        <f>$K24*aida!I23</f>
        <v>14704</v>
      </c>
      <c r="J24" s="12"/>
      <c r="K24" s="12">
        <v>1.0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0" t="str">
        <f>aida!A24</f>
        <v>di cui: esigibili entro l'esercizio successivo</v>
      </c>
      <c r="B25" s="11">
        <f>$K25*aida!B24</f>
        <v>0</v>
      </c>
      <c r="C25" s="11">
        <f>$K25*aida!C24</f>
        <v>0</v>
      </c>
      <c r="D25" s="11">
        <f>$K25*aida!D24</f>
        <v>0</v>
      </c>
      <c r="E25" s="11">
        <f>$K25*aida!E24</f>
        <v>0</v>
      </c>
      <c r="F25" s="11">
        <f>$K25*aida!F24</f>
        <v>8192</v>
      </c>
      <c r="G25" s="11">
        <f>$K25*aida!G24</f>
        <v>8192</v>
      </c>
      <c r="H25" s="11">
        <f>$K25*aida!H24</f>
        <v>8192</v>
      </c>
      <c r="I25" s="11">
        <f>$K25*aida!I24</f>
        <v>0</v>
      </c>
      <c r="J25" s="12"/>
      <c r="K25" s="12">
        <v>1.0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0" t="str">
        <f>aida!A25</f>
        <v>B.III.1. TOT Partecipazioni</v>
      </c>
      <c r="B26" s="11">
        <f>$K26*aida!B25</f>
        <v>58702</v>
      </c>
      <c r="C26" s="11">
        <f>$K26*aida!C25</f>
        <v>58702</v>
      </c>
      <c r="D26" s="11">
        <f>$K26*aida!D25</f>
        <v>58702</v>
      </c>
      <c r="E26" s="11">
        <f>$K26*aida!E25</f>
        <v>58702</v>
      </c>
      <c r="F26" s="11">
        <f>$K26*aida!F25</f>
        <v>6512</v>
      </c>
      <c r="G26" s="11">
        <f>$K26*aida!G25</f>
        <v>6512</v>
      </c>
      <c r="H26" s="11">
        <f>$K26*aida!H25</f>
        <v>6512</v>
      </c>
      <c r="I26" s="11">
        <f>$K26*aida!I25</f>
        <v>6512</v>
      </c>
      <c r="J26" s="12"/>
      <c r="K26" s="12">
        <v>1.0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0" t="str">
        <f>aida!A26</f>
        <v>B.III.1.a. Imprese controllate</v>
      </c>
      <c r="B27" s="11">
        <f>$K27*aida!B26</f>
        <v>0</v>
      </c>
      <c r="C27" s="11">
        <f>$K27*aida!C26</f>
        <v>0</v>
      </c>
      <c r="D27" s="11">
        <f>$K27*aida!D26</f>
        <v>0</v>
      </c>
      <c r="E27" s="11">
        <f>$K27*aida!E26</f>
        <v>0</v>
      </c>
      <c r="F27" s="11">
        <f>$K27*aida!F26</f>
        <v>0</v>
      </c>
      <c r="G27" s="11">
        <f>$K27*aida!G26</f>
        <v>0</v>
      </c>
      <c r="H27" s="11">
        <f>$K27*aida!H26</f>
        <v>0</v>
      </c>
      <c r="I27" s="11">
        <f>$K27*aida!I26</f>
        <v>0</v>
      </c>
      <c r="J27" s="12"/>
      <c r="K27" s="12">
        <v>1.0</v>
      </c>
      <c r="L27" s="12" t="s">
        <v>256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0" t="str">
        <f>aida!A27</f>
        <v>B.III.1.b. Imprese collegate</v>
      </c>
      <c r="B28" s="11">
        <f>$K28*aida!B27</f>
        <v>0</v>
      </c>
      <c r="C28" s="11">
        <f>$K28*aida!C27</f>
        <v>0</v>
      </c>
      <c r="D28" s="11">
        <f>$K28*aida!D27</f>
        <v>0</v>
      </c>
      <c r="E28" s="11">
        <f>$K28*aida!E27</f>
        <v>0</v>
      </c>
      <c r="F28" s="11">
        <f>$K28*aida!F27</f>
        <v>0</v>
      </c>
      <c r="G28" s="11">
        <f>$K28*aida!G27</f>
        <v>0</v>
      </c>
      <c r="H28" s="11">
        <f>$K28*aida!H27</f>
        <v>0</v>
      </c>
      <c r="I28" s="11">
        <f>$K28*aida!I27</f>
        <v>0</v>
      </c>
      <c r="J28" s="12"/>
      <c r="K28" s="12">
        <v>1.0</v>
      </c>
      <c r="L28" s="12" t="s">
        <v>256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0" t="str">
        <f>aida!A28</f>
        <v>B.III.1.c. Imprese controllanti</v>
      </c>
      <c r="B29" s="11">
        <f>$K29*aida!B28</f>
        <v>0</v>
      </c>
      <c r="C29" s="11">
        <f>$K29*aida!C28</f>
        <v>0</v>
      </c>
      <c r="D29" s="11">
        <f>$K29*aida!D28</f>
        <v>0</v>
      </c>
      <c r="E29" s="11">
        <f>$K29*aida!E28</f>
        <v>0</v>
      </c>
      <c r="F29" s="11">
        <f>$K29*aida!F28</f>
        <v>0</v>
      </c>
      <c r="G29" s="11">
        <f>$K29*aida!G28</f>
        <v>0</v>
      </c>
      <c r="H29" s="11">
        <f>$K29*aida!H28</f>
        <v>0</v>
      </c>
      <c r="I29" s="11">
        <f>$K29*aida!I28</f>
        <v>0</v>
      </c>
      <c r="J29" s="12"/>
      <c r="K29" s="12">
        <v>1.0</v>
      </c>
      <c r="L29" s="12" t="s">
        <v>257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0" t="str">
        <f>aida!A29</f>
        <v>B.III.1.d. In imprese sottoposte al controllo delle controllanti</v>
      </c>
      <c r="B30" s="11">
        <f>$K30*aida!B29</f>
        <v>0</v>
      </c>
      <c r="C30" s="11">
        <f>$K30*aida!C29</f>
        <v>0</v>
      </c>
      <c r="D30" s="11">
        <f>$K30*aida!D29</f>
        <v>0</v>
      </c>
      <c r="E30" s="11">
        <f>$K30*aida!E29</f>
        <v>0</v>
      </c>
      <c r="F30" s="11">
        <f>$K30*aida!F29</f>
        <v>0</v>
      </c>
      <c r="G30" s="11">
        <f>$K30*aida!G29</f>
        <v>0</v>
      </c>
      <c r="H30" s="11">
        <f>$K30*aida!H29</f>
        <v>0</v>
      </c>
      <c r="I30" s="11">
        <f>$K30*aida!I29</f>
        <v>0</v>
      </c>
      <c r="J30" s="12"/>
      <c r="K30" s="12">
        <v>1.0</v>
      </c>
      <c r="L30" s="12" t="s">
        <v>256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0" t="str">
        <f>aida!A30</f>
        <v>B.III.1.d.bis. Altre imprese</v>
      </c>
      <c r="B31" s="11">
        <f>$K31*aida!B30</f>
        <v>58702</v>
      </c>
      <c r="C31" s="11">
        <f>$K31*aida!C30</f>
        <v>58702</v>
      </c>
      <c r="D31" s="11">
        <f>$K31*aida!D30</f>
        <v>58702</v>
      </c>
      <c r="E31" s="11">
        <f>$K31*aida!E30</f>
        <v>58702</v>
      </c>
      <c r="F31" s="11">
        <f>$K31*aida!F30</f>
        <v>6512</v>
      </c>
      <c r="G31" s="11">
        <f>$K31*aida!G30</f>
        <v>6512</v>
      </c>
      <c r="H31" s="11">
        <f>$K31*aida!H30</f>
        <v>6512</v>
      </c>
      <c r="I31" s="11">
        <f>$K31*aida!I30</f>
        <v>6512</v>
      </c>
      <c r="J31" s="12"/>
      <c r="K31" s="12">
        <v>1.0</v>
      </c>
      <c r="L31" s="12" t="s">
        <v>256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0" t="str">
        <f>aida!A31</f>
        <v>B.III.2. TOT CREDITI Imm. Fin.</v>
      </c>
      <c r="B32" s="11">
        <f>$K32*aida!B31</f>
        <v>0</v>
      </c>
      <c r="C32" s="11">
        <f>$K32*aida!C31</f>
        <v>0</v>
      </c>
      <c r="D32" s="11">
        <f>$K32*aida!D31</f>
        <v>0</v>
      </c>
      <c r="E32" s="11">
        <f>$K32*aida!E31</f>
        <v>0</v>
      </c>
      <c r="F32" s="11">
        <f>$K32*aida!F31</f>
        <v>8192</v>
      </c>
      <c r="G32" s="11">
        <f>$K32*aida!G31</f>
        <v>8192</v>
      </c>
      <c r="H32" s="11">
        <f>$K32*aida!H31</f>
        <v>8192</v>
      </c>
      <c r="I32" s="11">
        <f>$K32*aida!I31</f>
        <v>8192</v>
      </c>
      <c r="J32" s="12"/>
      <c r="K32" s="12">
        <v>1.0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0" t="str">
        <f>aida!A32</f>
        <v>B.III.2.a. Cred. vs Controllate entro</v>
      </c>
      <c r="B33" s="11">
        <f>$K33*aida!B32</f>
        <v>0</v>
      </c>
      <c r="C33" s="11">
        <f>$K33*aida!C32</f>
        <v>0</v>
      </c>
      <c r="D33" s="11">
        <f>$K33*aida!D32</f>
        <v>0</v>
      </c>
      <c r="E33" s="11">
        <f>$K33*aida!E32</f>
        <v>0</v>
      </c>
      <c r="F33" s="11">
        <f>$K33*aida!F32</f>
        <v>0</v>
      </c>
      <c r="G33" s="11">
        <f>$K33*aida!G32</f>
        <v>0</v>
      </c>
      <c r="H33" s="11">
        <f>$K33*aida!H32</f>
        <v>0</v>
      </c>
      <c r="I33" s="11">
        <f>$K33*aida!I32</f>
        <v>0</v>
      </c>
      <c r="J33" s="12"/>
      <c r="K33" s="12">
        <v>1.0</v>
      </c>
      <c r="L33" s="12" t="s">
        <v>258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0" t="str">
        <f>aida!A33</f>
        <v>B.III.2.a. Cred. vs Controllate oltre</v>
      </c>
      <c r="B34" s="11">
        <f>$K34*aida!B33</f>
        <v>0</v>
      </c>
      <c r="C34" s="11">
        <f>$K34*aida!C33</f>
        <v>0</v>
      </c>
      <c r="D34" s="11">
        <f>$K34*aida!D33</f>
        <v>0</v>
      </c>
      <c r="E34" s="11">
        <f>$K34*aida!E33</f>
        <v>0</v>
      </c>
      <c r="F34" s="11">
        <f>$K34*aida!F33</f>
        <v>0</v>
      </c>
      <c r="G34" s="11">
        <f>$K34*aida!G33</f>
        <v>0</v>
      </c>
      <c r="H34" s="11">
        <f>$K34*aida!H33</f>
        <v>0</v>
      </c>
      <c r="I34" s="11">
        <f>$K34*aida!I33</f>
        <v>0</v>
      </c>
      <c r="J34" s="12"/>
      <c r="K34" s="12">
        <v>1.0</v>
      </c>
      <c r="L34" s="12" t="s">
        <v>258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0" t="str">
        <f>aida!A34</f>
        <v>B.III.2.b. Cred. vs Collegate entro</v>
      </c>
      <c r="B35" s="11">
        <f>$K35*aida!B34</f>
        <v>0</v>
      </c>
      <c r="C35" s="11">
        <f>$K35*aida!C34</f>
        <v>0</v>
      </c>
      <c r="D35" s="11">
        <f>$K35*aida!D34</f>
        <v>0</v>
      </c>
      <c r="E35" s="11">
        <f>$K35*aida!E34</f>
        <v>0</v>
      </c>
      <c r="F35" s="11">
        <f>$K35*aida!F34</f>
        <v>0</v>
      </c>
      <c r="G35" s="11">
        <f>$K35*aida!G34</f>
        <v>0</v>
      </c>
      <c r="H35" s="11">
        <f>$K35*aida!H34</f>
        <v>0</v>
      </c>
      <c r="I35" s="11">
        <f>$K35*aida!I34</f>
        <v>0</v>
      </c>
      <c r="J35" s="12"/>
      <c r="K35" s="12">
        <v>1.0</v>
      </c>
      <c r="L35" s="12" t="s">
        <v>258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0" t="str">
        <f>aida!A35</f>
        <v>B.III.2.b. Cred. vs Collegate oltre</v>
      </c>
      <c r="B36" s="11">
        <f>$K36*aida!B35</f>
        <v>0</v>
      </c>
      <c r="C36" s="11">
        <f>$K36*aida!C35</f>
        <v>0</v>
      </c>
      <c r="D36" s="11">
        <f>$K36*aida!D35</f>
        <v>0</v>
      </c>
      <c r="E36" s="11">
        <f>$K36*aida!E35</f>
        <v>0</v>
      </c>
      <c r="F36" s="11">
        <f>$K36*aida!F35</f>
        <v>0</v>
      </c>
      <c r="G36" s="11">
        <f>$K36*aida!G35</f>
        <v>0</v>
      </c>
      <c r="H36" s="11">
        <f>$K36*aida!H35</f>
        <v>0</v>
      </c>
      <c r="I36" s="11">
        <f>$K36*aida!I35</f>
        <v>0</v>
      </c>
      <c r="J36" s="12"/>
      <c r="K36" s="12">
        <v>1.0</v>
      </c>
      <c r="L36" s="12" t="s">
        <v>258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0" t="str">
        <f>aida!A36</f>
        <v>B.III.2.c. Cred. vs Controllanti entro</v>
      </c>
      <c r="B37" s="11">
        <f>$K37*aida!B36</f>
        <v>0</v>
      </c>
      <c r="C37" s="11">
        <f>$K37*aida!C36</f>
        <v>0</v>
      </c>
      <c r="D37" s="11">
        <f>$K37*aida!D36</f>
        <v>0</v>
      </c>
      <c r="E37" s="11">
        <f>$K37*aida!E36</f>
        <v>0</v>
      </c>
      <c r="F37" s="11">
        <f>$K37*aida!F36</f>
        <v>0</v>
      </c>
      <c r="G37" s="11">
        <f>$K37*aida!G36</f>
        <v>0</v>
      </c>
      <c r="H37" s="11">
        <f>$K37*aida!H36</f>
        <v>0</v>
      </c>
      <c r="I37" s="11">
        <f>$K37*aida!I36</f>
        <v>0</v>
      </c>
      <c r="J37" s="12"/>
      <c r="K37" s="12">
        <v>1.0</v>
      </c>
      <c r="L37" s="12" t="s">
        <v>259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0" t="str">
        <f>aida!A37</f>
        <v>B.III.2.c. Cred. vs Controllanti oltre</v>
      </c>
      <c r="B38" s="11">
        <f>$K38*aida!B37</f>
        <v>0</v>
      </c>
      <c r="C38" s="11">
        <f>$K38*aida!C37</f>
        <v>0</v>
      </c>
      <c r="D38" s="11">
        <f>$K38*aida!D37</f>
        <v>0</v>
      </c>
      <c r="E38" s="11">
        <f>$K38*aida!E37</f>
        <v>0</v>
      </c>
      <c r="F38" s="11">
        <f>$K38*aida!F37</f>
        <v>0</v>
      </c>
      <c r="G38" s="11">
        <f>$K38*aida!G37</f>
        <v>0</v>
      </c>
      <c r="H38" s="11">
        <f>$K38*aida!H37</f>
        <v>0</v>
      </c>
      <c r="I38" s="11">
        <f>$K38*aida!I37</f>
        <v>0</v>
      </c>
      <c r="J38" s="12"/>
      <c r="K38" s="12">
        <v>1.0</v>
      </c>
      <c r="L38" s="12" t="s">
        <v>259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0" t="str">
        <f>aida!A38</f>
        <v>B.III.2.d. Cred. vs imprese sottoposte al controllo delle controllanti entro</v>
      </c>
      <c r="B39" s="11">
        <f>$K39*aida!B38</f>
        <v>0</v>
      </c>
      <c r="C39" s="11">
        <f>$K39*aida!C38</f>
        <v>0</v>
      </c>
      <c r="D39" s="11">
        <f>$K39*aida!D38</f>
        <v>0</v>
      </c>
      <c r="E39" s="11">
        <f>$K39*aida!E38</f>
        <v>0</v>
      </c>
      <c r="F39" s="11">
        <f>$K39*aida!F38</f>
        <v>0</v>
      </c>
      <c r="G39" s="11">
        <f>$K39*aida!G38</f>
        <v>0</v>
      </c>
      <c r="H39" s="11">
        <f>$K39*aida!H38</f>
        <v>0</v>
      </c>
      <c r="I39" s="11">
        <f>$K39*aida!I38</f>
        <v>0</v>
      </c>
      <c r="J39" s="12"/>
      <c r="K39" s="12">
        <v>1.0</v>
      </c>
      <c r="L39" s="12" t="s">
        <v>260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0" t="str">
        <f>aida!A39</f>
        <v>B.III.2.d. Cred. vs imprese sottoposte al controllo delle controllanti oltre</v>
      </c>
      <c r="B40" s="11">
        <f>$K40*aida!B39</f>
        <v>0</v>
      </c>
      <c r="C40" s="11">
        <f>$K40*aida!C39</f>
        <v>0</v>
      </c>
      <c r="D40" s="11">
        <f>$K40*aida!D39</f>
        <v>0</v>
      </c>
      <c r="E40" s="11">
        <f>$K40*aida!E39</f>
        <v>0</v>
      </c>
      <c r="F40" s="11">
        <f>$K40*aida!F39</f>
        <v>0</v>
      </c>
      <c r="G40" s="11">
        <f>$K40*aida!G39</f>
        <v>0</v>
      </c>
      <c r="H40" s="11">
        <f>$K40*aida!H39</f>
        <v>0</v>
      </c>
      <c r="I40" s="11">
        <f>$K40*aida!I39</f>
        <v>0</v>
      </c>
      <c r="J40" s="12"/>
      <c r="K40" s="12">
        <v>1.0</v>
      </c>
      <c r="L40" s="12" t="s">
        <v>260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0" t="str">
        <f>aida!A40</f>
        <v>B.III.2.d.bis. Cred. vs Altri entro</v>
      </c>
      <c r="B41" s="11">
        <f>$K41*aida!B40</f>
        <v>0</v>
      </c>
      <c r="C41" s="11">
        <f>$K41*aida!C40</f>
        <v>0</v>
      </c>
      <c r="D41" s="11">
        <f>$K41*aida!D40</f>
        <v>0</v>
      </c>
      <c r="E41" s="11">
        <f>$K41*aida!E40</f>
        <v>0</v>
      </c>
      <c r="F41" s="11">
        <f>$K41*aida!F40</f>
        <v>8192</v>
      </c>
      <c r="G41" s="11">
        <f>$K41*aida!G40</f>
        <v>8192</v>
      </c>
      <c r="H41" s="11">
        <f>$K41*aida!H40</f>
        <v>8192</v>
      </c>
      <c r="I41" s="11">
        <f>$K41*aida!I40</f>
        <v>0</v>
      </c>
      <c r="J41" s="12"/>
      <c r="K41" s="12">
        <v>1.0</v>
      </c>
      <c r="L41" s="12" t="s">
        <v>260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0" customHeight="1">
      <c r="A42" s="10" t="str">
        <f>aida!A41</f>
        <v>B.III.2.d.bis Cred. vs Altri oltre</v>
      </c>
      <c r="B42" s="11">
        <f>$K42*aida!B41</f>
        <v>0</v>
      </c>
      <c r="C42" s="11">
        <f>$K42*aida!C41</f>
        <v>0</v>
      </c>
      <c r="D42" s="11">
        <f>$K42*aida!D41</f>
        <v>0</v>
      </c>
      <c r="E42" s="11">
        <f>$K42*aida!E41</f>
        <v>0</v>
      </c>
      <c r="F42" s="11">
        <f>$K42*aida!F41</f>
        <v>0</v>
      </c>
      <c r="G42" s="11">
        <f>$K42*aida!G41</f>
        <v>0</v>
      </c>
      <c r="H42" s="11">
        <f>$K42*aida!H41</f>
        <v>0</v>
      </c>
      <c r="I42" s="11">
        <f>$K42*aida!I41</f>
        <v>8192</v>
      </c>
      <c r="J42" s="12"/>
      <c r="K42" s="12">
        <v>1.0</v>
      </c>
      <c r="L42" s="12" t="s">
        <v>260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0" t="str">
        <f>aida!A42</f>
        <v>B.III. CREDITI FIN. A BREVE</v>
      </c>
      <c r="B43" s="11">
        <f>$K43*aida!B42</f>
        <v>0</v>
      </c>
      <c r="C43" s="11">
        <f>$K43*aida!C42</f>
        <v>0</v>
      </c>
      <c r="D43" s="11">
        <f>$K43*aida!D42</f>
        <v>0</v>
      </c>
      <c r="E43" s="11">
        <f>$K43*aida!E42</f>
        <v>0</v>
      </c>
      <c r="F43" s="11">
        <f>$K43*aida!F42</f>
        <v>8192</v>
      </c>
      <c r="G43" s="11">
        <f>$K43*aida!G42</f>
        <v>8192</v>
      </c>
      <c r="H43" s="11">
        <f>$K43*aida!H42</f>
        <v>8192</v>
      </c>
      <c r="I43" s="11">
        <f>$K43*aida!I42</f>
        <v>0</v>
      </c>
      <c r="J43" s="12"/>
      <c r="K43" s="12">
        <v>1.0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0" t="str">
        <f>aida!A43</f>
        <v>B.III. CREDITI FIN. A OLTRE</v>
      </c>
      <c r="B44" s="11">
        <f>$K44*aida!B43</f>
        <v>0</v>
      </c>
      <c r="C44" s="11">
        <f>$K44*aida!C43</f>
        <v>0</v>
      </c>
      <c r="D44" s="11">
        <f>$K44*aida!D43</f>
        <v>0</v>
      </c>
      <c r="E44" s="11">
        <f>$K44*aida!E43</f>
        <v>0</v>
      </c>
      <c r="F44" s="11">
        <f>$K44*aida!F43</f>
        <v>0</v>
      </c>
      <c r="G44" s="11">
        <f>$K44*aida!G43</f>
        <v>0</v>
      </c>
      <c r="H44" s="11">
        <f>$K44*aida!H43</f>
        <v>0</v>
      </c>
      <c r="I44" s="11">
        <f>$K44*aida!I43</f>
        <v>8192</v>
      </c>
      <c r="J44" s="12"/>
      <c r="K44" s="12">
        <v>1.0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0" t="str">
        <f>aida!A44</f>
        <v>B.III.3. Altri titoli</v>
      </c>
      <c r="B45" s="11">
        <f>$K45*aida!B44</f>
        <v>0</v>
      </c>
      <c r="C45" s="11">
        <f>$K45*aida!C44</f>
        <v>0</v>
      </c>
      <c r="D45" s="11">
        <f>$K45*aida!D44</f>
        <v>0</v>
      </c>
      <c r="E45" s="11">
        <f>$K45*aida!E44</f>
        <v>0</v>
      </c>
      <c r="F45" s="11">
        <f>$K45*aida!F44</f>
        <v>0</v>
      </c>
      <c r="G45" s="11">
        <f>$K45*aida!G44</f>
        <v>0</v>
      </c>
      <c r="H45" s="11">
        <f>$K45*aida!H44</f>
        <v>0</v>
      </c>
      <c r="I45" s="11">
        <f>$K45*aida!I44</f>
        <v>0</v>
      </c>
      <c r="J45" s="12"/>
      <c r="K45" s="12">
        <v>1.0</v>
      </c>
      <c r="L45" s="12" t="s">
        <v>256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0" t="str">
        <f>aida!A45</f>
        <v>B.III.3.bis. Azioni proprie</v>
      </c>
      <c r="B46" s="11">
        <f>$K46*aida!B45</f>
        <v>0</v>
      </c>
      <c r="C46" s="11">
        <f>$K46*aida!C45</f>
        <v>0</v>
      </c>
      <c r="D46" s="11">
        <f>$K46*aida!D45</f>
        <v>0</v>
      </c>
      <c r="E46" s="11">
        <f>$K46*aida!E45</f>
        <v>0</v>
      </c>
      <c r="F46" s="11">
        <f>$K46*aida!F45</f>
        <v>0</v>
      </c>
      <c r="G46" s="11">
        <f>$K46*aida!G45</f>
        <v>0</v>
      </c>
      <c r="H46" s="11">
        <f>$K46*aida!H45</f>
        <v>0</v>
      </c>
      <c r="I46" s="11">
        <f>$K46*aida!I45</f>
        <v>0</v>
      </c>
      <c r="J46" s="12"/>
      <c r="K46" s="12">
        <v>-1.0</v>
      </c>
      <c r="L46" s="12" t="s">
        <v>257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0" t="str">
        <f>aida!A46</f>
        <v>B.III.4. Strumenti finanziari derivati attivi</v>
      </c>
      <c r="B47" s="11">
        <f>$K47*aida!B46</f>
        <v>0</v>
      </c>
      <c r="C47" s="11">
        <f>$K47*aida!C46</f>
        <v>0</v>
      </c>
      <c r="D47" s="11">
        <f>$K47*aida!D46</f>
        <v>0</v>
      </c>
      <c r="E47" s="11">
        <f>$K47*aida!E46</f>
        <v>0</v>
      </c>
      <c r="F47" s="11">
        <f>$K47*aida!F46</f>
        <v>0</v>
      </c>
      <c r="G47" s="11">
        <f>$K47*aida!G46</f>
        <v>0</v>
      </c>
      <c r="H47" s="11">
        <f>$K47*aida!H46</f>
        <v>0</v>
      </c>
      <c r="I47" s="11">
        <f>$K47*aida!I46</f>
        <v>0</v>
      </c>
      <c r="J47" s="12"/>
      <c r="K47" s="12">
        <v>1.0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0" t="str">
        <f>aida!A47</f>
        <v>Azioni proprie DI CUI: Val nominale</v>
      </c>
      <c r="B48" s="11">
        <f>$K48*aida!B47</f>
        <v>0</v>
      </c>
      <c r="C48" s="11">
        <f>$K48*aida!C47</f>
        <v>0</v>
      </c>
      <c r="D48" s="11">
        <f>$K48*aida!D47</f>
        <v>0</v>
      </c>
      <c r="E48" s="11">
        <f>$K48*aida!E47</f>
        <v>0</v>
      </c>
      <c r="F48" s="11">
        <f>$K48*aida!F47</f>
        <v>0</v>
      </c>
      <c r="G48" s="11">
        <f>$K48*aida!G47</f>
        <v>0</v>
      </c>
      <c r="H48" s="11">
        <f>$K48*aida!H47</f>
        <v>0</v>
      </c>
      <c r="I48" s="11">
        <f>$K48*aida!I47</f>
        <v>0</v>
      </c>
      <c r="J48" s="12"/>
      <c r="K48" s="12">
        <v>1.0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3"/>
      <c r="B49" s="11"/>
      <c r="C49" s="11"/>
      <c r="D49" s="11"/>
      <c r="E49" s="11"/>
      <c r="F49" s="11"/>
      <c r="G49" s="11"/>
      <c r="H49" s="11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7" t="str">
        <f>aida!A48</f>
        <v>C. ATTIVO CIRCOLANTE</v>
      </c>
      <c r="B50" s="8">
        <f>$K50*aida!B48</f>
        <v>9864960</v>
      </c>
      <c r="C50" s="8">
        <f>$K50*aida!C48</f>
        <v>11304972</v>
      </c>
      <c r="D50" s="8">
        <f>$K50*aida!D48</f>
        <v>11040279</v>
      </c>
      <c r="E50" s="8">
        <f>$K50*aida!E48</f>
        <v>8568239</v>
      </c>
      <c r="F50" s="8">
        <f>$K50*aida!F48</f>
        <v>7656738</v>
      </c>
      <c r="G50" s="8">
        <f>$K50*aida!G48</f>
        <v>6668572</v>
      </c>
      <c r="H50" s="8">
        <f>$K50*aida!H48</f>
        <v>5217184</v>
      </c>
      <c r="I50" s="8">
        <f>$K50*aida!I48</f>
        <v>5218727</v>
      </c>
      <c r="J50" s="9"/>
      <c r="K50" s="9">
        <v>1.0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10" t="str">
        <f>aida!A49</f>
        <v>C.I. TOTALE RIMANENZE</v>
      </c>
      <c r="B51" s="11">
        <f>$K51*aida!B49</f>
        <v>4608814</v>
      </c>
      <c r="C51" s="11">
        <f>$K51*aida!C49</f>
        <v>5103684</v>
      </c>
      <c r="D51" s="11">
        <f>$K51*aida!D49</f>
        <v>5250264</v>
      </c>
      <c r="E51" s="11">
        <f>$K51*aida!E49</f>
        <v>2924371</v>
      </c>
      <c r="F51" s="11">
        <f>$K51*aida!F49</f>
        <v>2556678</v>
      </c>
      <c r="G51" s="11">
        <f>$K51*aida!G49</f>
        <v>3010721</v>
      </c>
      <c r="H51" s="11">
        <f>$K51*aida!H49</f>
        <v>2422241</v>
      </c>
      <c r="I51" s="11">
        <f>$K51*aida!I49</f>
        <v>2070635</v>
      </c>
      <c r="J51" s="12"/>
      <c r="K51" s="12">
        <v>1.0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0" t="str">
        <f>aida!A50</f>
        <v>C.I.1. Materie prime</v>
      </c>
      <c r="B52" s="11">
        <f>$K52*aida!B50</f>
        <v>401813</v>
      </c>
      <c r="C52" s="11">
        <f>$K52*aida!C50</f>
        <v>259874</v>
      </c>
      <c r="D52" s="11">
        <f>$K52*aida!D50</f>
        <v>395324</v>
      </c>
      <c r="E52" s="11">
        <f>$K52*aida!E50</f>
        <v>233185</v>
      </c>
      <c r="F52" s="11">
        <f>$K52*aida!F50</f>
        <v>153593</v>
      </c>
      <c r="G52" s="11">
        <f>$K52*aida!G50</f>
        <v>229845</v>
      </c>
      <c r="H52" s="11">
        <f>$K52*aida!H50</f>
        <v>135786</v>
      </c>
      <c r="I52" s="11">
        <f>$K52*aida!I50</f>
        <v>170823</v>
      </c>
      <c r="J52" s="12"/>
      <c r="K52" s="12">
        <v>1.0</v>
      </c>
      <c r="L52" s="12" t="s">
        <v>261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0" t="str">
        <f>aida!A51</f>
        <v>C.I.2. Prodotti semilav./in corso</v>
      </c>
      <c r="B53" s="11">
        <f>$K53*aida!B51</f>
        <v>3664689</v>
      </c>
      <c r="C53" s="11">
        <f>$K53*aida!C51</f>
        <v>4140030</v>
      </c>
      <c r="D53" s="11">
        <f>$K53*aida!D51</f>
        <v>4081340</v>
      </c>
      <c r="E53" s="11">
        <f>$K53*aida!E51</f>
        <v>2338118</v>
      </c>
      <c r="F53" s="11">
        <f>$K53*aida!F51</f>
        <v>1996776</v>
      </c>
      <c r="G53" s="11">
        <f>$K53*aida!G51</f>
        <v>2711561</v>
      </c>
      <c r="H53" s="11">
        <f>$K53*aida!H51</f>
        <v>2072725</v>
      </c>
      <c r="I53" s="11">
        <f>$K53*aida!I51</f>
        <v>1739894</v>
      </c>
      <c r="J53" s="12"/>
      <c r="K53" s="12">
        <v>1.0</v>
      </c>
      <c r="L53" s="12" t="s">
        <v>261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0" t="str">
        <f>aida!A52</f>
        <v>C.I.3. Lavori in corso</v>
      </c>
      <c r="B54" s="11">
        <f>$K54*aida!B52</f>
        <v>0</v>
      </c>
      <c r="C54" s="11">
        <f>$K54*aida!C52</f>
        <v>0</v>
      </c>
      <c r="D54" s="11">
        <f>$K54*aida!D52</f>
        <v>0</v>
      </c>
      <c r="E54" s="11">
        <f>$K54*aida!E52</f>
        <v>0</v>
      </c>
      <c r="F54" s="11">
        <f>$K54*aida!F52</f>
        <v>0</v>
      </c>
      <c r="G54" s="11">
        <f>$K54*aida!G52</f>
        <v>0</v>
      </c>
      <c r="H54" s="11">
        <f>$K54*aida!H52</f>
        <v>0</v>
      </c>
      <c r="I54" s="11">
        <f>$K54*aida!I52</f>
        <v>0</v>
      </c>
      <c r="J54" s="12"/>
      <c r="K54" s="12">
        <v>1.0</v>
      </c>
      <c r="L54" s="12" t="s">
        <v>261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0" t="str">
        <f>aida!A53</f>
        <v>C.I.4. Prodotti finiti</v>
      </c>
      <c r="B55" s="11">
        <f>$K55*aida!B53</f>
        <v>542312</v>
      </c>
      <c r="C55" s="11">
        <f>$K55*aida!C53</f>
        <v>640442</v>
      </c>
      <c r="D55" s="11">
        <f>$K55*aida!D53</f>
        <v>773600</v>
      </c>
      <c r="E55" s="11">
        <f>$K55*aida!E53</f>
        <v>353068</v>
      </c>
      <c r="F55" s="11">
        <f>$K55*aida!F53</f>
        <v>406309</v>
      </c>
      <c r="G55" s="11">
        <f>$K55*aida!G53</f>
        <v>69315</v>
      </c>
      <c r="H55" s="11">
        <f>$K55*aida!H53</f>
        <v>213730</v>
      </c>
      <c r="I55" s="11">
        <f>$K55*aida!I53</f>
        <v>159918</v>
      </c>
      <c r="J55" s="12"/>
      <c r="K55" s="12">
        <v>1.0</v>
      </c>
      <c r="L55" s="12" t="s">
        <v>261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0" t="str">
        <f>aida!A54</f>
        <v>C.I.5. Acconti</v>
      </c>
      <c r="B56" s="11">
        <f>$K56*aida!B54</f>
        <v>0</v>
      </c>
      <c r="C56" s="11">
        <f>$K56*aida!C54</f>
        <v>63338</v>
      </c>
      <c r="D56" s="11">
        <f>$K56*aida!D54</f>
        <v>0</v>
      </c>
      <c r="E56" s="11">
        <f>$K56*aida!E54</f>
        <v>0</v>
      </c>
      <c r="F56" s="11">
        <f>$K56*aida!F54</f>
        <v>0</v>
      </c>
      <c r="G56" s="11">
        <f>$K56*aida!G54</f>
        <v>0</v>
      </c>
      <c r="H56" s="11">
        <f>$K56*aida!H54</f>
        <v>0</v>
      </c>
      <c r="I56" s="11">
        <f>$K56*aida!I54</f>
        <v>0</v>
      </c>
      <c r="J56" s="12"/>
      <c r="K56" s="12">
        <v>1.0</v>
      </c>
      <c r="L56" s="12" t="s">
        <v>262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0" t="str">
        <f>aida!A55</f>
        <v>Immobilizzazioni materiali destinate alla vendita</v>
      </c>
      <c r="B57" s="11">
        <f>$K57*aida!B55</f>
        <v>0</v>
      </c>
      <c r="C57" s="11">
        <f>$K57*aida!C55</f>
        <v>0</v>
      </c>
      <c r="D57" s="11">
        <f>$K57*aida!D55</f>
        <v>0</v>
      </c>
      <c r="E57" s="11">
        <f>$K57*aida!E55</f>
        <v>0</v>
      </c>
      <c r="F57" s="11">
        <f>$K57*aida!F55</f>
        <v>0</v>
      </c>
      <c r="G57" s="11">
        <f>$K57*aida!G55</f>
        <v>0</v>
      </c>
      <c r="H57" s="11">
        <f>$K57*aida!H55</f>
        <v>0</v>
      </c>
      <c r="I57" s="11">
        <f>$K57*aida!I55</f>
        <v>0</v>
      </c>
      <c r="J57" s="12"/>
      <c r="K57" s="12">
        <v>1.0</v>
      </c>
      <c r="L57" s="12" t="s">
        <v>255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0" t="str">
        <f>aida!A56</f>
        <v>C.II. TOTALE CREDITI</v>
      </c>
      <c r="B58" s="11">
        <f>$K58*aida!B56</f>
        <v>5013716</v>
      </c>
      <c r="C58" s="11">
        <f>$K58*aida!C56</f>
        <v>5309746</v>
      </c>
      <c r="D58" s="11">
        <f>$K58*aida!D56</f>
        <v>4632483</v>
      </c>
      <c r="E58" s="11">
        <f>$K58*aida!E56</f>
        <v>3374197</v>
      </c>
      <c r="F58" s="11">
        <f>$K58*aida!F56</f>
        <v>3111429</v>
      </c>
      <c r="G58" s="11">
        <f>$K58*aida!G56</f>
        <v>3053922</v>
      </c>
      <c r="H58" s="11">
        <f>$K58*aida!H56</f>
        <v>2457865</v>
      </c>
      <c r="I58" s="11">
        <f>$K58*aida!I56</f>
        <v>2435304</v>
      </c>
      <c r="J58" s="12"/>
      <c r="K58" s="12">
        <v>1.0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0" t="str">
        <f>aida!A57</f>
        <v>C.II.1. Cred. vs Clienti entro</v>
      </c>
      <c r="B59" s="11">
        <f>$K59*aida!B57</f>
        <v>4256399</v>
      </c>
      <c r="C59" s="11">
        <f>$K59*aida!C57</f>
        <v>3896776</v>
      </c>
      <c r="D59" s="11">
        <f>$K59*aida!D57</f>
        <v>2966203</v>
      </c>
      <c r="E59" s="11">
        <f>$K59*aida!E57</f>
        <v>3180616</v>
      </c>
      <c r="F59" s="11">
        <f>$K59*aida!F57</f>
        <v>2787212</v>
      </c>
      <c r="G59" s="11">
        <f>$K59*aida!G57</f>
        <v>2642901</v>
      </c>
      <c r="H59" s="11">
        <f>$K59*aida!H57</f>
        <v>2353521</v>
      </c>
      <c r="I59" s="11">
        <f>$K59*aida!I57</f>
        <v>2381302</v>
      </c>
      <c r="J59" s="12"/>
      <c r="K59" s="12">
        <v>1.0</v>
      </c>
      <c r="L59" s="12" t="s">
        <v>263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0" t="str">
        <f>aida!A58</f>
        <v>C.II.1. Cred. vs Clienti oltre</v>
      </c>
      <c r="B60" s="11">
        <f>$K60*aida!B58</f>
        <v>0</v>
      </c>
      <c r="C60" s="11">
        <f>$K60*aida!C58</f>
        <v>0</v>
      </c>
      <c r="D60" s="11">
        <f>$K60*aida!D58</f>
        <v>0</v>
      </c>
      <c r="E60" s="11">
        <f>$K60*aida!E58</f>
        <v>0</v>
      </c>
      <c r="F60" s="11">
        <f>$K60*aida!F58</f>
        <v>0</v>
      </c>
      <c r="G60" s="11">
        <f>$K60*aida!G58</f>
        <v>0</v>
      </c>
      <c r="H60" s="11">
        <f>$K60*aida!H58</f>
        <v>0</v>
      </c>
      <c r="I60" s="11">
        <f>$K60*aida!I58</f>
        <v>0</v>
      </c>
      <c r="J60" s="12"/>
      <c r="K60" s="12">
        <v>1.0</v>
      </c>
      <c r="L60" s="12" t="s">
        <v>263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0" t="str">
        <f>aida!A59</f>
        <v>C.II.2. Cred. vs Controllate entro</v>
      </c>
      <c r="B61" s="11">
        <f>$K61*aida!B59</f>
        <v>0</v>
      </c>
      <c r="C61" s="11">
        <f>$K61*aida!C59</f>
        <v>0</v>
      </c>
      <c r="D61" s="11">
        <f>$K61*aida!D59</f>
        <v>0</v>
      </c>
      <c r="E61" s="11">
        <f>$K61*aida!E59</f>
        <v>0</v>
      </c>
      <c r="F61" s="11">
        <f>$K61*aida!F59</f>
        <v>0</v>
      </c>
      <c r="G61" s="11">
        <f>$K61*aida!G59</f>
        <v>0</v>
      </c>
      <c r="H61" s="11">
        <f>$K61*aida!H59</f>
        <v>0</v>
      </c>
      <c r="I61" s="11">
        <f>$K61*aida!I59</f>
        <v>0</v>
      </c>
      <c r="J61" s="12"/>
      <c r="K61" s="12">
        <v>1.0</v>
      </c>
      <c r="L61" s="12" t="s">
        <v>258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0" t="str">
        <f>aida!A60</f>
        <v>C.II.2. Cred. vs Controllate oltre</v>
      </c>
      <c r="B62" s="11">
        <f>$K62*aida!B60</f>
        <v>0</v>
      </c>
      <c r="C62" s="11">
        <f>$K62*aida!C60</f>
        <v>0</v>
      </c>
      <c r="D62" s="11">
        <f>$K62*aida!D60</f>
        <v>0</v>
      </c>
      <c r="E62" s="11">
        <f>$K62*aida!E60</f>
        <v>0</v>
      </c>
      <c r="F62" s="11">
        <f>$K62*aida!F60</f>
        <v>0</v>
      </c>
      <c r="G62" s="11">
        <f>$K62*aida!G60</f>
        <v>0</v>
      </c>
      <c r="H62" s="11">
        <f>$K62*aida!H60</f>
        <v>0</v>
      </c>
      <c r="I62" s="11">
        <f>$K62*aida!I60</f>
        <v>0</v>
      </c>
      <c r="J62" s="12"/>
      <c r="K62" s="12">
        <v>1.0</v>
      </c>
      <c r="L62" s="12" t="s">
        <v>258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0" t="str">
        <f>aida!A61</f>
        <v>C.II.3. Cred. vs Collegate entro</v>
      </c>
      <c r="B63" s="11">
        <f>$K63*aida!B61</f>
        <v>0</v>
      </c>
      <c r="C63" s="11">
        <f>$K63*aida!C61</f>
        <v>0</v>
      </c>
      <c r="D63" s="11">
        <f>$K63*aida!D61</f>
        <v>0</v>
      </c>
      <c r="E63" s="11">
        <f>$K63*aida!E61</f>
        <v>0</v>
      </c>
      <c r="F63" s="11">
        <f>$K63*aida!F61</f>
        <v>0</v>
      </c>
      <c r="G63" s="11">
        <f>$K63*aida!G61</f>
        <v>0</v>
      </c>
      <c r="H63" s="11">
        <f>$K63*aida!H61</f>
        <v>0</v>
      </c>
      <c r="I63" s="11">
        <f>$K63*aida!I61</f>
        <v>0</v>
      </c>
      <c r="J63" s="12"/>
      <c r="K63" s="12">
        <v>1.0</v>
      </c>
      <c r="L63" s="12" t="s">
        <v>258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0" t="str">
        <f>aida!A62</f>
        <v>C.II.3. Cred. vs Collegate oltre</v>
      </c>
      <c r="B64" s="11">
        <f>$K64*aida!B62</f>
        <v>0</v>
      </c>
      <c r="C64" s="11">
        <f>$K64*aida!C62</f>
        <v>0</v>
      </c>
      <c r="D64" s="11">
        <f>$K64*aida!D62</f>
        <v>0</v>
      </c>
      <c r="E64" s="11">
        <f>$K64*aida!E62</f>
        <v>0</v>
      </c>
      <c r="F64" s="11">
        <f>$K64*aida!F62</f>
        <v>0</v>
      </c>
      <c r="G64" s="11">
        <f>$K64*aida!G62</f>
        <v>0</v>
      </c>
      <c r="H64" s="11">
        <f>$K64*aida!H62</f>
        <v>0</v>
      </c>
      <c r="I64" s="11">
        <f>$K64*aida!I62</f>
        <v>0</v>
      </c>
      <c r="J64" s="12"/>
      <c r="K64" s="12">
        <v>1.0</v>
      </c>
      <c r="L64" s="12" t="s">
        <v>258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0" t="str">
        <f>aida!A63</f>
        <v>C.II.4. Cred. vs Controllanti entro</v>
      </c>
      <c r="B65" s="11">
        <f>$K65*aida!B63</f>
        <v>0</v>
      </c>
      <c r="C65" s="11">
        <f>$K65*aida!C63</f>
        <v>0</v>
      </c>
      <c r="D65" s="11">
        <f>$K65*aida!D63</f>
        <v>0</v>
      </c>
      <c r="E65" s="11">
        <f>$K65*aida!E63</f>
        <v>0</v>
      </c>
      <c r="F65" s="11">
        <f>$K65*aida!F63</f>
        <v>0</v>
      </c>
      <c r="G65" s="11">
        <f>$K65*aida!G63</f>
        <v>0</v>
      </c>
      <c r="H65" s="11">
        <f>$K65*aida!H63</f>
        <v>0</v>
      </c>
      <c r="I65" s="11">
        <f>$K65*aida!I63</f>
        <v>0</v>
      </c>
      <c r="J65" s="12"/>
      <c r="K65" s="12">
        <v>1.0</v>
      </c>
      <c r="L65" s="12" t="s">
        <v>258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0" t="str">
        <f>aida!A64</f>
        <v>C.II.4. Cred. vs Controllanti oltre</v>
      </c>
      <c r="B66" s="11">
        <f>$K66*aida!B64</f>
        <v>0</v>
      </c>
      <c r="C66" s="11">
        <f>$K66*aida!C64</f>
        <v>0</v>
      </c>
      <c r="D66" s="11">
        <f>$K66*aida!D64</f>
        <v>0</v>
      </c>
      <c r="E66" s="11">
        <f>$K66*aida!E64</f>
        <v>0</v>
      </c>
      <c r="F66" s="11">
        <f>$K66*aida!F64</f>
        <v>0</v>
      </c>
      <c r="G66" s="11">
        <f>$K66*aida!G64</f>
        <v>0</v>
      </c>
      <c r="H66" s="11">
        <f>$K66*aida!H64</f>
        <v>0</v>
      </c>
      <c r="I66" s="11">
        <f>$K66*aida!I64</f>
        <v>0</v>
      </c>
      <c r="J66" s="12"/>
      <c r="K66" s="12">
        <v>1.0</v>
      </c>
      <c r="L66" s="12" t="s">
        <v>258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0" t="str">
        <f>aida!A65</f>
        <v>C.II.5. Cred. vs imprese sottoposte al controllo delle controllanti entro</v>
      </c>
      <c r="B67" s="11">
        <f>$K67*aida!B65</f>
        <v>0</v>
      </c>
      <c r="C67" s="11">
        <f>$K67*aida!C65</f>
        <v>0</v>
      </c>
      <c r="D67" s="11">
        <f>$K67*aida!D65</f>
        <v>0</v>
      </c>
      <c r="E67" s="11">
        <f>$K67*aida!E65</f>
        <v>0</v>
      </c>
      <c r="F67" s="11">
        <f>$K67*aida!F65</f>
        <v>0</v>
      </c>
      <c r="G67" s="11">
        <f>$K67*aida!G65</f>
        <v>0</v>
      </c>
      <c r="H67" s="11">
        <f>$K67*aida!H65</f>
        <v>0</v>
      </c>
      <c r="I67" s="11">
        <f>$K67*aida!I65</f>
        <v>0</v>
      </c>
      <c r="J67" s="12"/>
      <c r="K67" s="12">
        <v>1.0</v>
      </c>
      <c r="L67" s="12" t="s">
        <v>258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0" t="str">
        <f>aida!A66</f>
        <v>C.II.5. Cred. vs imprese sottoposte al controllo delle controllanti oltre</v>
      </c>
      <c r="B68" s="11">
        <f>$K68*aida!B66</f>
        <v>0</v>
      </c>
      <c r="C68" s="11">
        <f>$K68*aida!C66</f>
        <v>0</v>
      </c>
      <c r="D68" s="11">
        <f>$K68*aida!D66</f>
        <v>0</v>
      </c>
      <c r="E68" s="11">
        <f>$K68*aida!E66</f>
        <v>0</v>
      </c>
      <c r="F68" s="11">
        <f>$K68*aida!F66</f>
        <v>0</v>
      </c>
      <c r="G68" s="11">
        <f>$K68*aida!G66</f>
        <v>0</v>
      </c>
      <c r="H68" s="11">
        <f>$K68*aida!H66</f>
        <v>0</v>
      </c>
      <c r="I68" s="11">
        <f>$K68*aida!I66</f>
        <v>0</v>
      </c>
      <c r="J68" s="12"/>
      <c r="K68" s="12">
        <v>1.0</v>
      </c>
      <c r="L68" s="12" t="s">
        <v>258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0" t="str">
        <f>aida!A67</f>
        <v>C.II.5.bis. Cred. tributari entro</v>
      </c>
      <c r="B69" s="11">
        <f>$K69*aida!B67</f>
        <v>11273</v>
      </c>
      <c r="C69" s="11">
        <f>$K69*aida!C67</f>
        <v>121727</v>
      </c>
      <c r="D69" s="11">
        <f>$K69*aida!D67</f>
        <v>578618</v>
      </c>
      <c r="E69" s="11">
        <f>$K69*aida!E67</f>
        <v>112666</v>
      </c>
      <c r="F69" s="11">
        <f>$K69*aida!F67</f>
        <v>284700</v>
      </c>
      <c r="G69" s="11">
        <f>$K69*aida!G67</f>
        <v>175791</v>
      </c>
      <c r="H69" s="11">
        <f>$K69*aida!H67</f>
        <v>57954</v>
      </c>
      <c r="I69" s="11">
        <f>$K69*aida!I67</f>
        <v>4758</v>
      </c>
      <c r="J69" s="12"/>
      <c r="K69" s="12">
        <v>1.0</v>
      </c>
      <c r="L69" s="12" t="s">
        <v>264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0" t="str">
        <f>aida!A68</f>
        <v>C.II.5.bis. Cred. tributari oltre</v>
      </c>
      <c r="B70" s="11">
        <f>$K70*aida!B68</f>
        <v>12001</v>
      </c>
      <c r="C70" s="11">
        <f>$K70*aida!C68</f>
        <v>21254</v>
      </c>
      <c r="D70" s="11">
        <f>$K70*aida!D68</f>
        <v>127045</v>
      </c>
      <c r="E70" s="11">
        <f>$K70*aida!E68</f>
        <v>34606</v>
      </c>
      <c r="F70" s="11">
        <f>$K70*aida!F68</f>
        <v>0</v>
      </c>
      <c r="G70" s="11">
        <f>$K70*aida!G68</f>
        <v>0</v>
      </c>
      <c r="H70" s="11">
        <f>$K70*aida!H68</f>
        <v>0</v>
      </c>
      <c r="I70" s="11">
        <f>$K70*aida!I68</f>
        <v>0</v>
      </c>
      <c r="J70" s="12"/>
      <c r="K70" s="12">
        <v>1.0</v>
      </c>
      <c r="L70" s="12" t="s">
        <v>264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0" t="str">
        <f>aida!A69</f>
        <v>C.II.5.ter. Cred. per imposte anticipate entro</v>
      </c>
      <c r="B71" s="11">
        <f>$K71*aida!B69</f>
        <v>0</v>
      </c>
      <c r="C71" s="11">
        <f>$K71*aida!C69</f>
        <v>0</v>
      </c>
      <c r="D71" s="11">
        <f>$K71*aida!D69</f>
        <v>0</v>
      </c>
      <c r="E71" s="11">
        <f>$K71*aida!E69</f>
        <v>0</v>
      </c>
      <c r="F71" s="11">
        <f>$K71*aida!F69</f>
        <v>0</v>
      </c>
      <c r="G71" s="11">
        <f>$K71*aida!G69</f>
        <v>0</v>
      </c>
      <c r="H71" s="11">
        <f>$K71*aida!H69</f>
        <v>0</v>
      </c>
      <c r="I71" s="11">
        <f>$K71*aida!I69</f>
        <v>0</v>
      </c>
      <c r="J71" s="12"/>
      <c r="K71" s="12">
        <v>1.0</v>
      </c>
      <c r="L71" s="12" t="s">
        <v>265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0" t="str">
        <f>aida!A70</f>
        <v>C.II.5.ter. Cred. per imposte anticipate oltre</v>
      </c>
      <c r="B72" s="11">
        <f>$K72*aida!B70</f>
        <v>0</v>
      </c>
      <c r="C72" s="11">
        <f>$K72*aida!C70</f>
        <v>0</v>
      </c>
      <c r="D72" s="11">
        <f>$K72*aida!D70</f>
        <v>0</v>
      </c>
      <c r="E72" s="11">
        <f>$K72*aida!E70</f>
        <v>0</v>
      </c>
      <c r="F72" s="11">
        <f>$K72*aida!F70</f>
        <v>0</v>
      </c>
      <c r="G72" s="11">
        <f>$K72*aida!G70</f>
        <v>0</v>
      </c>
      <c r="H72" s="11">
        <f>$K72*aida!H70</f>
        <v>0</v>
      </c>
      <c r="I72" s="11">
        <f>$K72*aida!I70</f>
        <v>0</v>
      </c>
      <c r="J72" s="12"/>
      <c r="K72" s="12">
        <v>1.0</v>
      </c>
      <c r="L72" s="12" t="s">
        <v>265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0" t="str">
        <f>aida!A71</f>
        <v>C.II.5.quater. Cred. verso altri entro</v>
      </c>
      <c r="B73" s="11">
        <f>$K73*aida!B71</f>
        <v>120585</v>
      </c>
      <c r="C73" s="11">
        <f>$K73*aida!C71</f>
        <v>110959</v>
      </c>
      <c r="D73" s="11">
        <f>$K73*aida!D71</f>
        <v>51330</v>
      </c>
      <c r="E73" s="11">
        <f>$K73*aida!E71</f>
        <v>38017</v>
      </c>
      <c r="F73" s="11">
        <f>$K73*aida!F71</f>
        <v>39517</v>
      </c>
      <c r="G73" s="11">
        <f>$K73*aida!G71</f>
        <v>235230</v>
      </c>
      <c r="H73" s="11">
        <f>$K73*aida!H71</f>
        <v>46390</v>
      </c>
      <c r="I73" s="11">
        <f>$K73*aida!I71</f>
        <v>49244</v>
      </c>
      <c r="J73" s="12"/>
      <c r="K73" s="12">
        <v>1.0</v>
      </c>
      <c r="L73" s="12" t="s">
        <v>262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0" t="str">
        <f>aida!A72</f>
        <v>C.II.5.quater. Cred. verso altri oltre</v>
      </c>
      <c r="B74" s="11">
        <f>$K74*aida!B72</f>
        <v>613458</v>
      </c>
      <c r="C74" s="11">
        <f>$K74*aida!C72</f>
        <v>1159030</v>
      </c>
      <c r="D74" s="11">
        <f>$K74*aida!D72</f>
        <v>909287</v>
      </c>
      <c r="E74" s="11">
        <f>$K74*aida!E72</f>
        <v>8292</v>
      </c>
      <c r="F74" s="11">
        <f>$K74*aida!F72</f>
        <v>0</v>
      </c>
      <c r="G74" s="11">
        <f>$K74*aida!G72</f>
        <v>0</v>
      </c>
      <c r="H74" s="11">
        <f>$K74*aida!H72</f>
        <v>0</v>
      </c>
      <c r="I74" s="11">
        <f>$K74*aida!I72</f>
        <v>0</v>
      </c>
      <c r="J74" s="12"/>
      <c r="K74" s="12">
        <v>1.0</v>
      </c>
      <c r="L74" s="12" t="s">
        <v>262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0" t="str">
        <f>aida!A73</f>
        <v>C.II. Crediti a breve</v>
      </c>
      <c r="B75" s="11">
        <f>$K75*aida!B73</f>
        <v>4388257</v>
      </c>
      <c r="C75" s="11">
        <f>$K75*aida!C73</f>
        <v>4129462</v>
      </c>
      <c r="D75" s="11">
        <f>$K75*aida!D73</f>
        <v>3596151</v>
      </c>
      <c r="E75" s="11">
        <f>$K75*aida!E73</f>
        <v>3331299</v>
      </c>
      <c r="F75" s="11">
        <f>$K75*aida!F73</f>
        <v>3111429</v>
      </c>
      <c r="G75" s="11">
        <f>$K75*aida!G73</f>
        <v>3053922</v>
      </c>
      <c r="H75" s="11">
        <f>$K75*aida!H73</f>
        <v>2457865</v>
      </c>
      <c r="I75" s="11">
        <f>$K75*aida!I73</f>
        <v>2435304</v>
      </c>
      <c r="J75" s="12"/>
      <c r="K75" s="12">
        <v>1.0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0" t="str">
        <f>aida!A74</f>
        <v>Crediti per imposte anticipate</v>
      </c>
      <c r="B76" s="11">
        <f>$K76*aida!B74</f>
        <v>0</v>
      </c>
      <c r="C76" s="11">
        <f>$K76*aida!C74</f>
        <v>0</v>
      </c>
      <c r="D76" s="11">
        <f>$K76*aida!D74</f>
        <v>0</v>
      </c>
      <c r="E76" s="11">
        <f>$K76*aida!E74</f>
        <v>0</v>
      </c>
      <c r="F76" s="11">
        <f>$K76*aida!F74</f>
        <v>0</v>
      </c>
      <c r="G76" s="11">
        <f>$K76*aida!G74</f>
        <v>0</v>
      </c>
      <c r="H76" s="11">
        <f>$K76*aida!H74</f>
        <v>0</v>
      </c>
      <c r="I76" s="11">
        <f>$K76*aida!I74</f>
        <v>0</v>
      </c>
      <c r="J76" s="12"/>
      <c r="K76" s="12">
        <v>1.0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0" t="str">
        <f>aida!A75</f>
        <v>C.II. Crediti a oltre</v>
      </c>
      <c r="B77" s="11">
        <f>$K77*aida!B75</f>
        <v>625459</v>
      </c>
      <c r="C77" s="11">
        <f>$K77*aida!C75</f>
        <v>1180284</v>
      </c>
      <c r="D77" s="11">
        <f>$K77*aida!D75</f>
        <v>1036332</v>
      </c>
      <c r="E77" s="11">
        <f>$K77*aida!E75</f>
        <v>42898</v>
      </c>
      <c r="F77" s="11">
        <f>$K77*aida!F75</f>
        <v>0</v>
      </c>
      <c r="G77" s="11">
        <f>$K77*aida!G75</f>
        <v>0</v>
      </c>
      <c r="H77" s="11">
        <f>$K77*aida!H75</f>
        <v>0</v>
      </c>
      <c r="I77" s="11">
        <f>$K77*aida!I75</f>
        <v>0</v>
      </c>
      <c r="J77" s="12"/>
      <c r="K77" s="12">
        <v>1.0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0" t="str">
        <f>aida!A76</f>
        <v>C.III. TOTALE ATTIVITA' FINANZIARIE</v>
      </c>
      <c r="B78" s="11">
        <f>$K78*aida!B76</f>
        <v>0</v>
      </c>
      <c r="C78" s="11">
        <f>$K78*aida!C76</f>
        <v>0</v>
      </c>
      <c r="D78" s="11">
        <f>$K78*aida!D76</f>
        <v>0</v>
      </c>
      <c r="E78" s="11">
        <f>$K78*aida!E76</f>
        <v>0</v>
      </c>
      <c r="F78" s="11">
        <f>$K78*aida!F76</f>
        <v>0</v>
      </c>
      <c r="G78" s="11">
        <f>$K78*aida!G76</f>
        <v>0</v>
      </c>
      <c r="H78" s="11">
        <f>$K78*aida!H76</f>
        <v>0</v>
      </c>
      <c r="I78" s="11">
        <f>$K78*aida!I76</f>
        <v>0</v>
      </c>
      <c r="J78" s="12"/>
      <c r="K78" s="12">
        <v>1.0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0" t="str">
        <f>aida!A77</f>
        <v>C.III.1. Partec.ni in Controllate</v>
      </c>
      <c r="B79" s="11">
        <f>$K79*aida!B77</f>
        <v>0</v>
      </c>
      <c r="C79" s="11">
        <f>$K79*aida!C77</f>
        <v>0</v>
      </c>
      <c r="D79" s="11">
        <f>$K79*aida!D77</f>
        <v>0</v>
      </c>
      <c r="E79" s="11">
        <f>$K79*aida!E77</f>
        <v>0</v>
      </c>
      <c r="F79" s="11">
        <f>$K79*aida!F77</f>
        <v>0</v>
      </c>
      <c r="G79" s="11">
        <f>$K79*aida!G77</f>
        <v>0</v>
      </c>
      <c r="H79" s="11">
        <f>$K79*aida!H77</f>
        <v>0</v>
      </c>
      <c r="I79" s="11">
        <f>$K79*aida!I77</f>
        <v>0</v>
      </c>
      <c r="J79" s="12"/>
      <c r="K79" s="12">
        <v>1.0</v>
      </c>
      <c r="L79" s="12" t="s">
        <v>256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0" t="str">
        <f>aida!A78</f>
        <v>C.III.2. Partec.ni in Collegate</v>
      </c>
      <c r="B80" s="11">
        <f>$K80*aida!B78</f>
        <v>0</v>
      </c>
      <c r="C80" s="11">
        <f>$K80*aida!C78</f>
        <v>0</v>
      </c>
      <c r="D80" s="11">
        <f>$K80*aida!D78</f>
        <v>0</v>
      </c>
      <c r="E80" s="11">
        <f>$K80*aida!E78</f>
        <v>0</v>
      </c>
      <c r="F80" s="11">
        <f>$K80*aida!F78</f>
        <v>0</v>
      </c>
      <c r="G80" s="11">
        <f>$K80*aida!G78</f>
        <v>0</v>
      </c>
      <c r="H80" s="11">
        <f>$K80*aida!H78</f>
        <v>0</v>
      </c>
      <c r="I80" s="11">
        <f>$K80*aida!I78</f>
        <v>0</v>
      </c>
      <c r="J80" s="12"/>
      <c r="K80" s="12">
        <v>1.0</v>
      </c>
      <c r="L80" s="12" t="s">
        <v>256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0" t="str">
        <f>aida!A79</f>
        <v>C.III.3. Partec.ni in Controllanti</v>
      </c>
      <c r="B81" s="11">
        <f>$K81*aida!B79</f>
        <v>0</v>
      </c>
      <c r="C81" s="11">
        <f>$K81*aida!C79</f>
        <v>0</v>
      </c>
      <c r="D81" s="11">
        <f>$K81*aida!D79</f>
        <v>0</v>
      </c>
      <c r="E81" s="11">
        <f>$K81*aida!E79</f>
        <v>0</v>
      </c>
      <c r="F81" s="11">
        <f>$K81*aida!F79</f>
        <v>0</v>
      </c>
      <c r="G81" s="11">
        <f>$K81*aida!G79</f>
        <v>0</v>
      </c>
      <c r="H81" s="11">
        <f>$K81*aida!H79</f>
        <v>0</v>
      </c>
      <c r="I81" s="11">
        <f>$K81*aida!I79</f>
        <v>0</v>
      </c>
      <c r="J81" s="12"/>
      <c r="K81" s="12">
        <v>1.0</v>
      </c>
      <c r="L81" s="12" t="s">
        <v>256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0" t="str">
        <f>aida!A80</f>
        <v>C.III.3.bis. Partec.ni in imprese sottoposte al controllo delle controllanti</v>
      </c>
      <c r="B82" s="11">
        <f>$K82*aida!B80</f>
        <v>0</v>
      </c>
      <c r="C82" s="11">
        <f>$K82*aida!C80</f>
        <v>0</v>
      </c>
      <c r="D82" s="11">
        <f>$K82*aida!D80</f>
        <v>0</v>
      </c>
      <c r="E82" s="11">
        <f>$K82*aida!E80</f>
        <v>0</v>
      </c>
      <c r="F82" s="11">
        <f>$K82*aida!F80</f>
        <v>0</v>
      </c>
      <c r="G82" s="11">
        <f>$K82*aida!G80</f>
        <v>0</v>
      </c>
      <c r="H82" s="11">
        <f>$K82*aida!H80</f>
        <v>0</v>
      </c>
      <c r="I82" s="11">
        <f>$K82*aida!I80</f>
        <v>0</v>
      </c>
      <c r="J82" s="12"/>
      <c r="K82" s="12">
        <v>1.0</v>
      </c>
      <c r="L82" s="12" t="s">
        <v>256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0" t="str">
        <f>aida!A81</f>
        <v>C.III.4. Altre Partec.ni</v>
      </c>
      <c r="B83" s="11">
        <f>$K83*aida!B81</f>
        <v>0</v>
      </c>
      <c r="C83" s="11">
        <f>$K83*aida!C81</f>
        <v>0</v>
      </c>
      <c r="D83" s="11">
        <f>$K83*aida!D81</f>
        <v>0</v>
      </c>
      <c r="E83" s="11">
        <f>$K83*aida!E81</f>
        <v>0</v>
      </c>
      <c r="F83" s="11">
        <f>$K83*aida!F81</f>
        <v>0</v>
      </c>
      <c r="G83" s="11">
        <f>$K83*aida!G81</f>
        <v>0</v>
      </c>
      <c r="H83" s="11">
        <f>$K83*aida!H81</f>
        <v>0</v>
      </c>
      <c r="I83" s="11">
        <f>$K83*aida!I81</f>
        <v>0</v>
      </c>
      <c r="J83" s="12"/>
      <c r="K83" s="12">
        <v>1.0</v>
      </c>
      <c r="L83" s="12" t="s">
        <v>256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0" t="str">
        <f>aida!A82</f>
        <v>C.III.4.bis. Azioni proprie</v>
      </c>
      <c r="B84" s="11">
        <f>$K84*aida!B82</f>
        <v>0</v>
      </c>
      <c r="C84" s="11">
        <f>$K84*aida!C82</f>
        <v>0</v>
      </c>
      <c r="D84" s="11">
        <f>$K84*aida!D82</f>
        <v>0</v>
      </c>
      <c r="E84" s="11">
        <f>$K84*aida!E82</f>
        <v>0</v>
      </c>
      <c r="F84" s="11">
        <f>$K84*aida!F82</f>
        <v>0</v>
      </c>
      <c r="G84" s="11">
        <f>$K84*aida!G82</f>
        <v>0</v>
      </c>
      <c r="H84" s="11">
        <f>$K84*aida!H82</f>
        <v>0</v>
      </c>
      <c r="I84" s="11">
        <f>$K84*aida!I82</f>
        <v>0</v>
      </c>
      <c r="J84" s="12"/>
      <c r="K84" s="12">
        <v>1.0</v>
      </c>
      <c r="L84" s="12" t="s">
        <v>256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0" t="str">
        <f>aida!A83</f>
        <v>Azioni proprie DI CUI: Val nominale</v>
      </c>
      <c r="B85" s="11">
        <f>$K85*aida!B83</f>
        <v>0</v>
      </c>
      <c r="C85" s="11">
        <f>$K85*aida!C83</f>
        <v>0</v>
      </c>
      <c r="D85" s="11">
        <f>$K85*aida!D83</f>
        <v>0</v>
      </c>
      <c r="E85" s="11">
        <f>$K85*aida!E83</f>
        <v>0</v>
      </c>
      <c r="F85" s="11">
        <f>$K85*aida!F83</f>
        <v>0</v>
      </c>
      <c r="G85" s="11">
        <f>$K85*aida!G83</f>
        <v>0</v>
      </c>
      <c r="H85" s="11">
        <f>$K85*aida!H83</f>
        <v>0</v>
      </c>
      <c r="I85" s="11">
        <f>$K85*aida!I83</f>
        <v>0</v>
      </c>
      <c r="J85" s="12"/>
      <c r="K85" s="12">
        <v>1.0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0" t="str">
        <f>aida!A84</f>
        <v>C.III.5. Strumenti finanziari derivati attivi</v>
      </c>
      <c r="B86" s="11">
        <f>$K86*aida!B84</f>
        <v>0</v>
      </c>
      <c r="C86" s="11">
        <f>$K86*aida!C84</f>
        <v>0</v>
      </c>
      <c r="D86" s="11">
        <f>$K86*aida!D84</f>
        <v>0</v>
      </c>
      <c r="E86" s="11">
        <f>$K86*aida!E84</f>
        <v>0</v>
      </c>
      <c r="F86" s="11">
        <f>$K86*aida!F84</f>
        <v>0</v>
      </c>
      <c r="G86" s="11">
        <f>$K86*aida!G84</f>
        <v>0</v>
      </c>
      <c r="H86" s="11">
        <f>$K86*aida!H84</f>
        <v>0</v>
      </c>
      <c r="I86" s="11">
        <f>$K86*aida!I84</f>
        <v>0</v>
      </c>
      <c r="J86" s="12"/>
      <c r="K86" s="12">
        <v>1.0</v>
      </c>
      <c r="L86" s="12" t="s">
        <v>266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0" t="str">
        <f>aida!A85</f>
        <v>C.III.6. Altri titoli</v>
      </c>
      <c r="B87" s="11">
        <f>$K87*aida!B85</f>
        <v>0</v>
      </c>
      <c r="C87" s="11">
        <f>$K87*aida!C85</f>
        <v>0</v>
      </c>
      <c r="D87" s="11">
        <f>$K87*aida!D85</f>
        <v>0</v>
      </c>
      <c r="E87" s="11">
        <f>$K87*aida!E85</f>
        <v>0</v>
      </c>
      <c r="F87" s="11">
        <f>$K87*aida!F85</f>
        <v>0</v>
      </c>
      <c r="G87" s="11">
        <f>$K87*aida!G85</f>
        <v>0</v>
      </c>
      <c r="H87" s="11">
        <f>$K87*aida!H85</f>
        <v>0</v>
      </c>
      <c r="I87" s="11">
        <f>$K87*aida!I85</f>
        <v>0</v>
      </c>
      <c r="J87" s="12"/>
      <c r="K87" s="12">
        <v>1.0</v>
      </c>
      <c r="L87" s="12" t="s">
        <v>259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0" t="str">
        <f>aida!A86</f>
        <v>C.III.7. Attività finanziarie per la gestione accentrata della tesoreria</v>
      </c>
      <c r="B88" s="11">
        <f>$K88*aida!B86</f>
        <v>0</v>
      </c>
      <c r="C88" s="11">
        <f>$K88*aida!C86</f>
        <v>0</v>
      </c>
      <c r="D88" s="11">
        <f>$K88*aida!D86</f>
        <v>0</v>
      </c>
      <c r="E88" s="11">
        <f>$K88*aida!E86</f>
        <v>0</v>
      </c>
      <c r="F88" s="11">
        <f>$K88*aida!F86</f>
        <v>0</v>
      </c>
      <c r="G88" s="11">
        <f>$K88*aida!G86</f>
        <v>0</v>
      </c>
      <c r="H88" s="11">
        <f>$K88*aida!H86</f>
        <v>0</v>
      </c>
      <c r="I88" s="11">
        <f>$K88*aida!I86</f>
        <v>0</v>
      </c>
      <c r="J88" s="12"/>
      <c r="K88" s="12">
        <v>1.0</v>
      </c>
      <c r="L88" s="12" t="s">
        <v>267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0" t="str">
        <f>aida!A87</f>
        <v>C.IV. TOT. DISPON. LIQUIDE</v>
      </c>
      <c r="B89" s="11">
        <f>$K89*aida!B87</f>
        <v>242430</v>
      </c>
      <c r="C89" s="11">
        <f>$K89*aida!C87</f>
        <v>891542</v>
      </c>
      <c r="D89" s="11">
        <f>$K89*aida!D87</f>
        <v>1157532</v>
      </c>
      <c r="E89" s="11">
        <f>$K89*aida!E87</f>
        <v>2269671</v>
      </c>
      <c r="F89" s="11">
        <f>$K89*aida!F87</f>
        <v>1988631</v>
      </c>
      <c r="G89" s="11">
        <f>$K89*aida!G87</f>
        <v>603929</v>
      </c>
      <c r="H89" s="11">
        <f>$K89*aida!H87</f>
        <v>337078</v>
      </c>
      <c r="I89" s="11">
        <f>$K89*aida!I87</f>
        <v>712788</v>
      </c>
      <c r="J89" s="12"/>
      <c r="K89" s="12">
        <v>1.0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0" t="str">
        <f>aida!A88</f>
        <v>C.IV.1. Depositi bancari</v>
      </c>
      <c r="B90" s="11">
        <f>$K90*aida!B88</f>
        <v>241919</v>
      </c>
      <c r="C90" s="11">
        <f>$K90*aida!C88</f>
        <v>891422</v>
      </c>
      <c r="D90" s="11">
        <f>$K90*aida!D88</f>
        <v>1157445</v>
      </c>
      <c r="E90" s="11">
        <f>$K90*aida!E88</f>
        <v>2269599</v>
      </c>
      <c r="F90" s="11">
        <f>$K90*aida!F88</f>
        <v>1988227</v>
      </c>
      <c r="G90" s="11">
        <f>$K90*aida!G88</f>
        <v>603874</v>
      </c>
      <c r="H90" s="11">
        <f>$K90*aida!H88</f>
        <v>336843</v>
      </c>
      <c r="I90" s="11">
        <f>$K90*aida!I88</f>
        <v>712192</v>
      </c>
      <c r="J90" s="12"/>
      <c r="K90" s="12">
        <v>1.0</v>
      </c>
      <c r="L90" s="12" t="s">
        <v>267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0" t="str">
        <f>aida!A89</f>
        <v>C.IV.2. Assegni</v>
      </c>
      <c r="B91" s="11">
        <f>$K91*aida!B89</f>
        <v>0</v>
      </c>
      <c r="C91" s="11">
        <f>$K91*aida!C89</f>
        <v>0</v>
      </c>
      <c r="D91" s="11">
        <f>$K91*aida!D89</f>
        <v>0</v>
      </c>
      <c r="E91" s="11">
        <f>$K91*aida!E89</f>
        <v>0</v>
      </c>
      <c r="F91" s="11">
        <f>$K91*aida!F89</f>
        <v>0</v>
      </c>
      <c r="G91" s="11">
        <f>$K91*aida!G89</f>
        <v>0</v>
      </c>
      <c r="H91" s="11">
        <f>$K91*aida!H89</f>
        <v>0</v>
      </c>
      <c r="I91" s="11">
        <f>$K91*aida!I89</f>
        <v>0</v>
      </c>
      <c r="J91" s="12"/>
      <c r="K91" s="12">
        <v>1.0</v>
      </c>
      <c r="L91" s="12" t="s">
        <v>267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0" t="str">
        <f>aida!A90</f>
        <v>C.IV.3. Denaro in cassa</v>
      </c>
      <c r="B92" s="11">
        <f>$K92*aida!B90</f>
        <v>511</v>
      </c>
      <c r="C92" s="11">
        <f>$K92*aida!C90</f>
        <v>120</v>
      </c>
      <c r="D92" s="11">
        <f>$K92*aida!D90</f>
        <v>87</v>
      </c>
      <c r="E92" s="11">
        <f>$K92*aida!E90</f>
        <v>72</v>
      </c>
      <c r="F92" s="11">
        <f>$K92*aida!F90</f>
        <v>404</v>
      </c>
      <c r="G92" s="11">
        <f>$K92*aida!G90</f>
        <v>55</v>
      </c>
      <c r="H92" s="11">
        <f>$K92*aida!H90</f>
        <v>235</v>
      </c>
      <c r="I92" s="11">
        <f>$K92*aida!I90</f>
        <v>596</v>
      </c>
      <c r="J92" s="12"/>
      <c r="K92" s="12">
        <v>1.0</v>
      </c>
      <c r="L92" s="12" t="s">
        <v>267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7" t="str">
        <f>aida!A91</f>
        <v>D. RATEI E RISCONTI</v>
      </c>
      <c r="B93" s="8">
        <f>$K93*aida!B91</f>
        <v>82949</v>
      </c>
      <c r="C93" s="8">
        <f>$K93*aida!C91</f>
        <v>66553</v>
      </c>
      <c r="D93" s="8">
        <f>$K93*aida!D91</f>
        <v>67834</v>
      </c>
      <c r="E93" s="8">
        <f>$K93*aida!E91</f>
        <v>70670</v>
      </c>
      <c r="F93" s="8">
        <f>$K93*aida!F91</f>
        <v>65092</v>
      </c>
      <c r="G93" s="8">
        <f>$K93*aida!G91</f>
        <v>26537</v>
      </c>
      <c r="H93" s="8">
        <f>$K93*aida!H91</f>
        <v>36724</v>
      </c>
      <c r="I93" s="8">
        <f>$K93*aida!I91</f>
        <v>24511</v>
      </c>
      <c r="J93" s="9"/>
      <c r="K93" s="9">
        <v>1.0</v>
      </c>
      <c r="L93" s="9" t="s">
        <v>262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0" t="str">
        <f>aida!A92</f>
        <v>Disaggio su prestiti</v>
      </c>
      <c r="B94" s="11">
        <f>$K94*aida!B92</f>
        <v>0</v>
      </c>
      <c r="C94" s="11">
        <f>$K94*aida!C92</f>
        <v>0</v>
      </c>
      <c r="D94" s="11">
        <f>$K94*aida!D92</f>
        <v>0</v>
      </c>
      <c r="E94" s="11">
        <f>$K94*aida!E92</f>
        <v>0</v>
      </c>
      <c r="F94" s="11">
        <f>$K94*aida!F92</f>
        <v>0</v>
      </c>
      <c r="G94" s="11">
        <f>$K94*aida!G92</f>
        <v>0</v>
      </c>
      <c r="H94" s="11">
        <f>$K94*aida!H92</f>
        <v>0</v>
      </c>
      <c r="I94" s="11">
        <f>$K94*aida!I92</f>
        <v>0</v>
      </c>
      <c r="J94" s="12"/>
      <c r="K94" s="12">
        <v>1.0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4" t="str">
        <f>aida!A93</f>
        <v>TOTALE ATTIVO</v>
      </c>
      <c r="B95" s="15">
        <f>$K95*aida!B93</f>
        <v>18790859</v>
      </c>
      <c r="C95" s="15">
        <f>$K95*aida!C93</f>
        <v>20554377</v>
      </c>
      <c r="D95" s="15">
        <f>$K95*aida!D93</f>
        <v>20723060</v>
      </c>
      <c r="E95" s="15">
        <f>$K95*aida!E93</f>
        <v>18204611</v>
      </c>
      <c r="F95" s="15">
        <f>$K95*aida!F93</f>
        <v>14795011</v>
      </c>
      <c r="G95" s="15">
        <f>$K95*aida!G93</f>
        <v>9311398</v>
      </c>
      <c r="H95" s="15">
        <f>$K95*aida!H93</f>
        <v>6455031</v>
      </c>
      <c r="I95" s="15">
        <f>$K95*aida!I93</f>
        <v>6151737</v>
      </c>
      <c r="J95" s="9"/>
      <c r="K95" s="9">
        <v>1.0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2"/>
      <c r="B96" s="11"/>
      <c r="C96" s="11"/>
      <c r="D96" s="11"/>
      <c r="E96" s="11"/>
      <c r="F96" s="11"/>
      <c r="G96" s="11"/>
      <c r="H96" s="1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8.0" customHeight="1">
      <c r="A97" s="17" t="str">
        <f>aida!A94</f>
        <v>Passivo</v>
      </c>
      <c r="B97" s="18"/>
      <c r="C97" s="18"/>
      <c r="D97" s="18"/>
      <c r="E97" s="18"/>
      <c r="F97" s="18"/>
      <c r="G97" s="18"/>
      <c r="H97" s="18"/>
      <c r="I97" s="18"/>
      <c r="J97" s="19"/>
      <c r="K97" s="19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7" t="str">
        <f>aida!A95</f>
        <v>PATRIMONIO NETTO</v>
      </c>
      <c r="B98" s="8">
        <f>$K98*aida!B95</f>
        <v>0</v>
      </c>
      <c r="C98" s="8">
        <f>$K98*aida!C95</f>
        <v>0</v>
      </c>
      <c r="D98" s="8">
        <f>$K98*aida!D95</f>
        <v>0</v>
      </c>
      <c r="E98" s="8">
        <f>$K98*aida!E95</f>
        <v>0</v>
      </c>
      <c r="F98" s="8">
        <f>$K98*aida!F95</f>
        <v>0</v>
      </c>
      <c r="G98" s="8">
        <f>$K98*aida!G95</f>
        <v>0</v>
      </c>
      <c r="H98" s="8">
        <f>$K98*aida!H95</f>
        <v>0</v>
      </c>
      <c r="I98" s="8">
        <f>$K98*aida!I95</f>
        <v>0</v>
      </c>
      <c r="J98" s="9"/>
      <c r="K98" s="9">
        <v>1.0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20" t="str">
        <f>aida!A96</f>
        <v>A. TOTALE PATRIMONIO NETTO</v>
      </c>
      <c r="B99" s="11">
        <f>$K99*aida!B96</f>
        <v>5757287</v>
      </c>
      <c r="C99" s="11">
        <f>$K99*aida!C96</f>
        <v>5227552</v>
      </c>
      <c r="D99" s="11">
        <f>$K99*aida!D96</f>
        <v>4660887</v>
      </c>
      <c r="E99" s="11">
        <f>$K99*aida!E96</f>
        <v>4082303</v>
      </c>
      <c r="F99" s="11">
        <f>$K99*aida!F96</f>
        <v>3206001</v>
      </c>
      <c r="G99" s="11">
        <f>$K99*aida!G96</f>
        <v>2384718</v>
      </c>
      <c r="H99" s="11">
        <f>$K99*aida!H96</f>
        <v>1733081</v>
      </c>
      <c r="I99" s="11">
        <f>$K99*aida!I96</f>
        <v>1062658</v>
      </c>
      <c r="J99" s="12"/>
      <c r="K99" s="12">
        <v>1.0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0" t="str">
        <f>aida!A97</f>
        <v>A.I. Capitale sociale</v>
      </c>
      <c r="B100" s="11">
        <f>$K100*aida!B97</f>
        <v>140000</v>
      </c>
      <c r="C100" s="11">
        <f>$K100*aida!C97</f>
        <v>140000</v>
      </c>
      <c r="D100" s="11">
        <f>$K100*aida!D97</f>
        <v>140000</v>
      </c>
      <c r="E100" s="11">
        <f>$K100*aida!E97</f>
        <v>140000</v>
      </c>
      <c r="F100" s="11">
        <f>$K100*aida!F97</f>
        <v>140000</v>
      </c>
      <c r="G100" s="11">
        <f>$K100*aida!G97</f>
        <v>140000</v>
      </c>
      <c r="H100" s="11">
        <f>$K100*aida!H97</f>
        <v>140000</v>
      </c>
      <c r="I100" s="11">
        <f>$K100*aida!I97</f>
        <v>140000</v>
      </c>
      <c r="J100" s="12"/>
      <c r="K100" s="12">
        <v>1.0</v>
      </c>
      <c r="L100" s="12" t="s">
        <v>268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0" t="str">
        <f>aida!A98</f>
        <v>di cui: Versamenti soci in c/capitale</v>
      </c>
      <c r="B101" s="11">
        <f>$K101*aida!B98</f>
        <v>0</v>
      </c>
      <c r="C101" s="11">
        <f>$K101*aida!C98</f>
        <v>0</v>
      </c>
      <c r="D101" s="11">
        <f>$K101*aida!D98</f>
        <v>0</v>
      </c>
      <c r="E101" s="11">
        <f>$K101*aida!E98</f>
        <v>0</v>
      </c>
      <c r="F101" s="11">
        <f>$K101*aida!F98</f>
        <v>0</v>
      </c>
      <c r="G101" s="11">
        <f>$K101*aida!G98</f>
        <v>0</v>
      </c>
      <c r="H101" s="11">
        <f>$K101*aida!H98</f>
        <v>0</v>
      </c>
      <c r="I101" s="11">
        <f>$K101*aida!I98</f>
        <v>0</v>
      </c>
      <c r="J101" s="12"/>
      <c r="K101" s="12">
        <v>1.0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0" t="str">
        <f>aida!A99</f>
        <v>di cui: Versamenti in c/futuro aumento di capitale</v>
      </c>
      <c r="B102" s="11">
        <f>$K102*aida!B99</f>
        <v>0</v>
      </c>
      <c r="C102" s="11">
        <f>$K102*aida!C99</f>
        <v>0</v>
      </c>
      <c r="D102" s="11">
        <f>$K102*aida!D99</f>
        <v>0</v>
      </c>
      <c r="E102" s="11">
        <f>$K102*aida!E99</f>
        <v>0</v>
      </c>
      <c r="F102" s="11">
        <f>$K102*aida!F99</f>
        <v>0</v>
      </c>
      <c r="G102" s="11">
        <f>$K102*aida!G99</f>
        <v>0</v>
      </c>
      <c r="H102" s="11">
        <f>$K102*aida!H99</f>
        <v>0</v>
      </c>
      <c r="I102" s="11">
        <f>$K102*aida!I99</f>
        <v>0</v>
      </c>
      <c r="J102" s="12"/>
      <c r="K102" s="12">
        <v>1.0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0" t="str">
        <f>aida!A100</f>
        <v>di cui: Versamenti in c/capitale</v>
      </c>
      <c r="B103" s="11">
        <f>$K103*aida!B100</f>
        <v>0</v>
      </c>
      <c r="C103" s="11">
        <f>$K103*aida!C100</f>
        <v>0</v>
      </c>
      <c r="D103" s="11">
        <f>$K103*aida!D100</f>
        <v>0</v>
      </c>
      <c r="E103" s="11">
        <f>$K103*aida!E100</f>
        <v>0</v>
      </c>
      <c r="F103" s="11">
        <f>$K103*aida!F100</f>
        <v>0</v>
      </c>
      <c r="G103" s="11">
        <f>$K103*aida!G100</f>
        <v>0</v>
      </c>
      <c r="H103" s="11">
        <f>$K103*aida!H100</f>
        <v>0</v>
      </c>
      <c r="I103" s="11">
        <f>$K103*aida!I100</f>
        <v>0</v>
      </c>
      <c r="J103" s="12"/>
      <c r="K103" s="12">
        <v>1.0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0" t="str">
        <f>aida!A101</f>
        <v>di cui: Versamenti a copertura perdite</v>
      </c>
      <c r="B104" s="11">
        <f>$K104*aida!B101</f>
        <v>0</v>
      </c>
      <c r="C104" s="11">
        <f>$K104*aida!C101</f>
        <v>0</v>
      </c>
      <c r="D104" s="11">
        <f>$K104*aida!D101</f>
        <v>0</v>
      </c>
      <c r="E104" s="11">
        <f>$K104*aida!E101</f>
        <v>0</v>
      </c>
      <c r="F104" s="11">
        <f>$K104*aida!F101</f>
        <v>0</v>
      </c>
      <c r="G104" s="11">
        <f>$K104*aida!G101</f>
        <v>0</v>
      </c>
      <c r="H104" s="11">
        <f>$K104*aida!H101</f>
        <v>0</v>
      </c>
      <c r="I104" s="11">
        <f>$K104*aida!I101</f>
        <v>0</v>
      </c>
      <c r="J104" s="12"/>
      <c r="K104" s="12">
        <v>1.0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0" t="str">
        <f>aida!A102</f>
        <v>A.II. Riserva da sovrapprezzo</v>
      </c>
      <c r="B105" s="11">
        <f>$K105*aida!B102</f>
        <v>0</v>
      </c>
      <c r="C105" s="11">
        <f>$K105*aida!C102</f>
        <v>0</v>
      </c>
      <c r="D105" s="11">
        <f>$K105*aida!D102</f>
        <v>0</v>
      </c>
      <c r="E105" s="11">
        <f>$K105*aida!E102</f>
        <v>0</v>
      </c>
      <c r="F105" s="11">
        <f>$K105*aida!F102</f>
        <v>0</v>
      </c>
      <c r="G105" s="11">
        <f>$K105*aida!G102</f>
        <v>0</v>
      </c>
      <c r="H105" s="11">
        <f>$K105*aida!H102</f>
        <v>0</v>
      </c>
      <c r="I105" s="11">
        <f>$K105*aida!I102</f>
        <v>0</v>
      </c>
      <c r="J105" s="12"/>
      <c r="K105" s="12">
        <v>1.0</v>
      </c>
      <c r="L105" s="12" t="s">
        <v>268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0" t="str">
        <f>aida!A103</f>
        <v>A.III. Riserva di rivalutazione</v>
      </c>
      <c r="B106" s="11">
        <f>$K106*aida!B103</f>
        <v>0</v>
      </c>
      <c r="C106" s="11">
        <f>$K106*aida!C103</f>
        <v>0</v>
      </c>
      <c r="D106" s="11">
        <f>$K106*aida!D103</f>
        <v>0</v>
      </c>
      <c r="E106" s="11">
        <f>$K106*aida!E103</f>
        <v>0</v>
      </c>
      <c r="F106" s="11">
        <f>$K106*aida!F103</f>
        <v>0</v>
      </c>
      <c r="G106" s="11">
        <f>$K106*aida!G103</f>
        <v>0</v>
      </c>
      <c r="H106" s="11">
        <f>$K106*aida!H103</f>
        <v>0</v>
      </c>
      <c r="I106" s="11">
        <f>$K106*aida!I103</f>
        <v>0</v>
      </c>
      <c r="J106" s="12"/>
      <c r="K106" s="12">
        <v>1.0</v>
      </c>
      <c r="L106" s="12" t="s">
        <v>269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0" t="str">
        <f>aida!A104</f>
        <v>A.IV. Riserva legale</v>
      </c>
      <c r="B107" s="11">
        <f>$K107*aida!B104</f>
        <v>28000</v>
      </c>
      <c r="C107" s="11">
        <f>$K107*aida!C104</f>
        <v>28000</v>
      </c>
      <c r="D107" s="11">
        <f>$K107*aida!D104</f>
        <v>28000</v>
      </c>
      <c r="E107" s="11">
        <f>$K107*aida!E104</f>
        <v>28000</v>
      </c>
      <c r="F107" s="11">
        <f>$K107*aida!F104</f>
        <v>28000</v>
      </c>
      <c r="G107" s="11">
        <f>$K107*aida!G104</f>
        <v>28000</v>
      </c>
      <c r="H107" s="11">
        <f>$K107*aida!H104</f>
        <v>18237</v>
      </c>
      <c r="I107" s="11">
        <f>$K107*aida!I104</f>
        <v>0</v>
      </c>
      <c r="J107" s="12"/>
      <c r="K107" s="12">
        <v>1.0</v>
      </c>
      <c r="L107" s="12" t="s">
        <v>270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0" t="str">
        <f>aida!A105</f>
        <v>A.V. Riserva statutaria</v>
      </c>
      <c r="B108" s="11">
        <f>$K108*aida!B105</f>
        <v>0</v>
      </c>
      <c r="C108" s="11">
        <f>$K108*aida!C105</f>
        <v>0</v>
      </c>
      <c r="D108" s="11">
        <f>$K108*aida!D105</f>
        <v>0</v>
      </c>
      <c r="E108" s="11">
        <f>$K108*aida!E105</f>
        <v>0</v>
      </c>
      <c r="F108" s="11">
        <f>$K108*aida!F105</f>
        <v>0</v>
      </c>
      <c r="G108" s="11">
        <f>$K108*aida!G105</f>
        <v>0</v>
      </c>
      <c r="H108" s="11">
        <f>$K108*aida!H105</f>
        <v>0</v>
      </c>
      <c r="I108" s="11">
        <f>$K108*aida!I105</f>
        <v>0</v>
      </c>
      <c r="J108" s="12"/>
      <c r="K108" s="12">
        <v>1.0</v>
      </c>
      <c r="L108" s="12" t="s">
        <v>270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0" t="str">
        <f>aida!A106</f>
        <v>Riserva azioni proprie</v>
      </c>
      <c r="B109" s="11">
        <f>$K109*aida!B106</f>
        <v>0</v>
      </c>
      <c r="C109" s="11">
        <f>$K109*aida!C106</f>
        <v>0</v>
      </c>
      <c r="D109" s="11">
        <f>$K109*aida!D106</f>
        <v>0</v>
      </c>
      <c r="E109" s="11">
        <f>$K109*aida!E106</f>
        <v>0</v>
      </c>
      <c r="F109" s="11">
        <f>$K109*aida!F106</f>
        <v>0</v>
      </c>
      <c r="G109" s="11">
        <f>$K109*aida!G106</f>
        <v>0</v>
      </c>
      <c r="H109" s="11">
        <f>$K109*aida!H106</f>
        <v>0</v>
      </c>
      <c r="I109" s="11">
        <f>$K109*aida!I106</f>
        <v>0</v>
      </c>
      <c r="J109" s="12"/>
      <c r="K109" s="12">
        <v>1.0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0" t="str">
        <f>aida!A107</f>
        <v>A.VI. Altre riserve</v>
      </c>
      <c r="B110" s="11">
        <f>$K110*aida!B107</f>
        <v>4689554</v>
      </c>
      <c r="C110" s="11">
        <f>$K110*aida!C107</f>
        <v>4492885</v>
      </c>
      <c r="D110" s="11">
        <f>$K110*aida!D107</f>
        <v>3814306</v>
      </c>
      <c r="E110" s="11">
        <f>$K110*aida!E107</f>
        <v>2953000</v>
      </c>
      <c r="F110" s="11">
        <f>$K110*aida!F107</f>
        <v>2116719</v>
      </c>
      <c r="G110" s="11">
        <f>$K110*aida!G107</f>
        <v>1465082</v>
      </c>
      <c r="H110" s="11">
        <f>$K110*aida!H107</f>
        <v>904419</v>
      </c>
      <c r="I110" s="11">
        <f>$K110*aida!I107</f>
        <v>-1</v>
      </c>
      <c r="J110" s="12"/>
      <c r="K110" s="12">
        <v>1.0</v>
      </c>
      <c r="L110" s="12" t="s">
        <v>270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0" t="str">
        <f>aida!A108</f>
        <v>Riserva da cons. del Gruppo</v>
      </c>
      <c r="B111" s="11">
        <f>$K111*aida!B108</f>
        <v>0</v>
      </c>
      <c r="C111" s="11">
        <f>$K111*aida!C108</f>
        <v>0</v>
      </c>
      <c r="D111" s="11">
        <f>$K111*aida!D108</f>
        <v>0</v>
      </c>
      <c r="E111" s="11">
        <f>$K111*aida!E108</f>
        <v>0</v>
      </c>
      <c r="F111" s="11">
        <f>$K111*aida!F108</f>
        <v>0</v>
      </c>
      <c r="G111" s="11">
        <f>$K111*aida!G108</f>
        <v>0</v>
      </c>
      <c r="H111" s="11">
        <f>$K111*aida!H108</f>
        <v>0</v>
      </c>
      <c r="I111" s="11">
        <f>$K111*aida!I108</f>
        <v>0</v>
      </c>
      <c r="J111" s="12"/>
      <c r="K111" s="12">
        <v>1.0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0" t="str">
        <f>aida!A109</f>
        <v>A.VII. Riserva per operazioni di copertura dei flussi finanziari attesi</v>
      </c>
      <c r="B112" s="11">
        <f>$K112*aida!B109</f>
        <v>0</v>
      </c>
      <c r="C112" s="11">
        <f>$K112*aida!C109</f>
        <v>0</v>
      </c>
      <c r="D112" s="11">
        <f>$K112*aida!D109</f>
        <v>0</v>
      </c>
      <c r="E112" s="11">
        <f>$K112*aida!E109</f>
        <v>0</v>
      </c>
      <c r="F112" s="11">
        <f>$K112*aida!F109</f>
        <v>0</v>
      </c>
      <c r="G112" s="11">
        <f>$K112*aida!G109</f>
        <v>0</v>
      </c>
      <c r="H112" s="11">
        <f>$K112*aida!H109</f>
        <v>0</v>
      </c>
      <c r="I112" s="11">
        <f>$K112*aida!I109</f>
        <v>0</v>
      </c>
      <c r="J112" s="12"/>
      <c r="K112" s="12">
        <v>1.0</v>
      </c>
      <c r="L112" s="12" t="s">
        <v>269</v>
      </c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0" t="str">
        <f>aida!A110</f>
        <v>A.VIII. Utile/perdita a nuovo</v>
      </c>
      <c r="B113" s="11">
        <f>$K113*aida!B110</f>
        <v>0</v>
      </c>
      <c r="C113" s="11">
        <f>$K113*aida!C110</f>
        <v>0</v>
      </c>
      <c r="D113" s="11">
        <f>$K113*aida!D110</f>
        <v>0</v>
      </c>
      <c r="E113" s="11">
        <f>$K113*aida!E110</f>
        <v>0</v>
      </c>
      <c r="F113" s="11">
        <f>$K113*aida!F110</f>
        <v>0</v>
      </c>
      <c r="G113" s="11">
        <f>$K113*aida!G110</f>
        <v>0</v>
      </c>
      <c r="H113" s="11">
        <f>$K113*aida!H110</f>
        <v>0</v>
      </c>
      <c r="I113" s="11">
        <f>$K113*aida!I110</f>
        <v>557913</v>
      </c>
      <c r="J113" s="12"/>
      <c r="K113" s="12">
        <v>1.0</v>
      </c>
      <c r="L113" s="12" t="s">
        <v>270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0" t="str">
        <f>aida!A111</f>
        <v>A.IX. Utile/perdita di esercizio</v>
      </c>
      <c r="B114" s="11">
        <f>$K114*aida!B111</f>
        <v>899733</v>
      </c>
      <c r="C114" s="11">
        <f>$K114*aida!C111</f>
        <v>566667</v>
      </c>
      <c r="D114" s="11">
        <f>$K114*aida!D111</f>
        <v>678581</v>
      </c>
      <c r="E114" s="11">
        <f>$K114*aida!E111</f>
        <v>961303</v>
      </c>
      <c r="F114" s="11">
        <f>$K114*aida!F111</f>
        <v>921282</v>
      </c>
      <c r="G114" s="11">
        <f>$K114*aida!G111</f>
        <v>751636</v>
      </c>
      <c r="H114" s="11">
        <f>$K114*aida!H111</f>
        <v>670425</v>
      </c>
      <c r="I114" s="11">
        <f>$K114*aida!I111</f>
        <v>364746</v>
      </c>
      <c r="J114" s="12"/>
      <c r="K114" s="12">
        <v>1.0</v>
      </c>
      <c r="L114" s="12" t="s">
        <v>271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0" t="str">
        <f>aida!A112</f>
        <v>Acconto dividendi</v>
      </c>
      <c r="B115" s="11">
        <f>$K115*aida!B112</f>
        <v>0</v>
      </c>
      <c r="C115" s="11">
        <f>$K115*aida!C112</f>
        <v>0</v>
      </c>
      <c r="D115" s="11">
        <f>$K115*aida!D112</f>
        <v>0</v>
      </c>
      <c r="E115" s="11">
        <f>$K115*aida!E112</f>
        <v>0</v>
      </c>
      <c r="F115" s="11">
        <f>$K115*aida!F112</f>
        <v>0</v>
      </c>
      <c r="G115" s="11">
        <f>$K115*aida!G112</f>
        <v>0</v>
      </c>
      <c r="H115" s="11">
        <f>$K115*aida!H112</f>
        <v>0</v>
      </c>
      <c r="I115" s="11">
        <f>$K115*aida!I112</f>
        <v>0</v>
      </c>
      <c r="J115" s="12"/>
      <c r="K115" s="12">
        <v>1.0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0" t="str">
        <f>aida!A113</f>
        <v>Copertura parziale perdita di esercizio</v>
      </c>
      <c r="B116" s="11">
        <f>$K116*aida!B113</f>
        <v>0</v>
      </c>
      <c r="C116" s="11">
        <f>$K116*aida!C113</f>
        <v>0</v>
      </c>
      <c r="D116" s="11">
        <f>$K116*aida!D113</f>
        <v>0</v>
      </c>
      <c r="E116" s="11">
        <f>$K116*aida!E113</f>
        <v>0</v>
      </c>
      <c r="F116" s="11">
        <f>$K116*aida!F113</f>
        <v>0</v>
      </c>
      <c r="G116" s="11">
        <f>$K116*aida!G113</f>
        <v>0</v>
      </c>
      <c r="H116" s="11">
        <f>$K116*aida!H113</f>
        <v>0</v>
      </c>
      <c r="I116" s="11">
        <f>$K116*aida!I113</f>
        <v>0</v>
      </c>
      <c r="J116" s="12"/>
      <c r="K116" s="12">
        <v>1.0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0" t="str">
        <f>aida!A114</f>
        <v>A.X. Riserva negativa per azioni proprie in portafoglio (+/-)</v>
      </c>
      <c r="B117" s="11">
        <f>$K117*aida!B114</f>
        <v>0</v>
      </c>
      <c r="C117" s="11">
        <f>$K117*aida!C114</f>
        <v>0</v>
      </c>
      <c r="D117" s="11">
        <f>$K117*aida!D114</f>
        <v>0</v>
      </c>
      <c r="E117" s="11">
        <f>$K117*aida!E114</f>
        <v>0</v>
      </c>
      <c r="F117" s="11">
        <f>$K117*aida!F114</f>
        <v>0</v>
      </c>
      <c r="G117" s="11">
        <f>$K117*aida!G114</f>
        <v>0</v>
      </c>
      <c r="H117" s="11">
        <f>$K117*aida!H114</f>
        <v>0</v>
      </c>
      <c r="I117" s="11">
        <f>$K117*aida!I114</f>
        <v>0</v>
      </c>
      <c r="J117" s="12"/>
      <c r="K117" s="12">
        <v>1.0</v>
      </c>
      <c r="L117" s="12" t="s">
        <v>257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20" t="str">
        <f>aida!A115</f>
        <v>TOTALE PATRIMONIO DEL GRUPPO</v>
      </c>
      <c r="B118" s="11">
        <f>$K118*aida!B115</f>
        <v>0</v>
      </c>
      <c r="C118" s="11">
        <f>$K118*aida!C115</f>
        <v>0</v>
      </c>
      <c r="D118" s="11">
        <f>$K118*aida!D115</f>
        <v>0</v>
      </c>
      <c r="E118" s="11">
        <f>$K118*aida!E115</f>
        <v>0</v>
      </c>
      <c r="F118" s="11">
        <f>$K118*aida!F115</f>
        <v>0</v>
      </c>
      <c r="G118" s="11">
        <f>$K118*aida!G115</f>
        <v>0</v>
      </c>
      <c r="H118" s="11">
        <f>$K118*aida!H115</f>
        <v>0</v>
      </c>
      <c r="I118" s="11">
        <f>$K118*aida!I115</f>
        <v>0</v>
      </c>
      <c r="J118" s="12"/>
      <c r="K118" s="12">
        <v>1.0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20" t="str">
        <f>aida!A116</f>
        <v>Capitale e riserve di pertinenza di TERZI</v>
      </c>
      <c r="B119" s="11">
        <f>$K119*aida!B116</f>
        <v>0</v>
      </c>
      <c r="C119" s="11">
        <f>$K119*aida!C116</f>
        <v>0</v>
      </c>
      <c r="D119" s="11">
        <f>$K119*aida!D116</f>
        <v>0</v>
      </c>
      <c r="E119" s="11">
        <f>$K119*aida!E116</f>
        <v>0</v>
      </c>
      <c r="F119" s="11">
        <f>$K119*aida!F116</f>
        <v>0</v>
      </c>
      <c r="G119" s="11">
        <f>$K119*aida!G116</f>
        <v>0</v>
      </c>
      <c r="H119" s="11">
        <f>$K119*aida!H116</f>
        <v>0</v>
      </c>
      <c r="I119" s="11">
        <f>$K119*aida!I116</f>
        <v>0</v>
      </c>
      <c r="J119" s="12"/>
      <c r="K119" s="12">
        <v>1.0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20" t="str">
        <f>aida!A117</f>
        <v>di cui: per imposte differite</v>
      </c>
      <c r="B120" s="11">
        <f>$K120*aida!B117</f>
        <v>0</v>
      </c>
      <c r="C120" s="11">
        <f>$K120*aida!C117</f>
        <v>0</v>
      </c>
      <c r="D120" s="11">
        <f>$K120*aida!D117</f>
        <v>0</v>
      </c>
      <c r="E120" s="11">
        <f>$K120*aida!E117</f>
        <v>0</v>
      </c>
      <c r="F120" s="11">
        <f>$K120*aida!F117</f>
        <v>0</v>
      </c>
      <c r="G120" s="11">
        <f>$K120*aida!G117</f>
        <v>0</v>
      </c>
      <c r="H120" s="11">
        <f>$K120*aida!H117</f>
        <v>0</v>
      </c>
      <c r="I120" s="11">
        <f>$K120*aida!I117</f>
        <v>0</v>
      </c>
      <c r="J120" s="12"/>
      <c r="K120" s="12">
        <v>1.0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20" t="str">
        <f>aida!A118</f>
        <v>Utile/perdita di es. di pertinenza di TERZI</v>
      </c>
      <c r="B121" s="11">
        <f>$K121*aida!B118</f>
        <v>0</v>
      </c>
      <c r="C121" s="11">
        <f>$K121*aida!C118</f>
        <v>0</v>
      </c>
      <c r="D121" s="11">
        <f>$K121*aida!D118</f>
        <v>0</v>
      </c>
      <c r="E121" s="11">
        <f>$K121*aida!E118</f>
        <v>0</v>
      </c>
      <c r="F121" s="11">
        <f>$K121*aida!F118</f>
        <v>0</v>
      </c>
      <c r="G121" s="11">
        <f>$K121*aida!G118</f>
        <v>0</v>
      </c>
      <c r="H121" s="11">
        <f>$K121*aida!H118</f>
        <v>0</v>
      </c>
      <c r="I121" s="11">
        <f>$K121*aida!I118</f>
        <v>0</v>
      </c>
      <c r="J121" s="12"/>
      <c r="K121" s="12">
        <v>1.0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20" t="str">
        <f>aida!A119</f>
        <v>TOTALE PATRIMONIO DI TERZI</v>
      </c>
      <c r="B122" s="11">
        <f>$K122*aida!B119</f>
        <v>0</v>
      </c>
      <c r="C122" s="11">
        <f>$K122*aida!C119</f>
        <v>0</v>
      </c>
      <c r="D122" s="11">
        <f>$K122*aida!D119</f>
        <v>0</v>
      </c>
      <c r="E122" s="11">
        <f>$K122*aida!E119</f>
        <v>0</v>
      </c>
      <c r="F122" s="11">
        <f>$K122*aida!F119</f>
        <v>0</v>
      </c>
      <c r="G122" s="11">
        <f>$K122*aida!G119</f>
        <v>0</v>
      </c>
      <c r="H122" s="11">
        <f>$K122*aida!H119</f>
        <v>0</v>
      </c>
      <c r="I122" s="11">
        <f>$K122*aida!I119</f>
        <v>0</v>
      </c>
      <c r="J122" s="12"/>
      <c r="K122" s="12">
        <v>1.0</v>
      </c>
      <c r="L122" s="12" t="s">
        <v>272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7" t="str">
        <f>aida!A120</f>
        <v>B. TOTALE FONDI RISCHI</v>
      </c>
      <c r="B123" s="8">
        <f>$K123*aida!B120</f>
        <v>0</v>
      </c>
      <c r="C123" s="8">
        <f>$K123*aida!C120</f>
        <v>0</v>
      </c>
      <c r="D123" s="8">
        <f>$K123*aida!D120</f>
        <v>0</v>
      </c>
      <c r="E123" s="8">
        <f>$K123*aida!E120</f>
        <v>0</v>
      </c>
      <c r="F123" s="8">
        <f>$K123*aida!F120</f>
        <v>0</v>
      </c>
      <c r="G123" s="8">
        <f>$K123*aida!G120</f>
        <v>0</v>
      </c>
      <c r="H123" s="8">
        <f>$K123*aida!H120</f>
        <v>41042</v>
      </c>
      <c r="I123" s="8">
        <f>$K123*aida!I120</f>
        <v>41042</v>
      </c>
      <c r="J123" s="9"/>
      <c r="K123" s="9">
        <v>1.0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10" t="str">
        <f>aida!A121</f>
        <v>B.1. Fondo di Quiescenza</v>
      </c>
      <c r="B124" s="11">
        <f>$K124*aida!B121</f>
        <v>0</v>
      </c>
      <c r="C124" s="11">
        <f>$K124*aida!C121</f>
        <v>0</v>
      </c>
      <c r="D124" s="11">
        <f>$K124*aida!D121</f>
        <v>0</v>
      </c>
      <c r="E124" s="11">
        <f>$K124*aida!E121</f>
        <v>0</v>
      </c>
      <c r="F124" s="11">
        <f>$K124*aida!F121</f>
        <v>0</v>
      </c>
      <c r="G124" s="11">
        <f>$K124*aida!G121</f>
        <v>0</v>
      </c>
      <c r="H124" s="11">
        <f>$K124*aida!H121</f>
        <v>0</v>
      </c>
      <c r="I124" s="11">
        <f>$K124*aida!I121</f>
        <v>0</v>
      </c>
      <c r="J124" s="12"/>
      <c r="K124" s="12">
        <v>1.0</v>
      </c>
      <c r="L124" s="12" t="s">
        <v>273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0" t="str">
        <f>aida!A122</f>
        <v>B.2. Fondo Imposte anche differite</v>
      </c>
      <c r="B125" s="11">
        <f>$K125*aida!B122</f>
        <v>0</v>
      </c>
      <c r="C125" s="11">
        <f>$K125*aida!C122</f>
        <v>0</v>
      </c>
      <c r="D125" s="11">
        <f>$K125*aida!D122</f>
        <v>0</v>
      </c>
      <c r="E125" s="11">
        <f>$K125*aida!E122</f>
        <v>0</v>
      </c>
      <c r="F125" s="11">
        <f>$K125*aida!F122</f>
        <v>0</v>
      </c>
      <c r="G125" s="11">
        <f>$K125*aida!G122</f>
        <v>0</v>
      </c>
      <c r="H125" s="11">
        <f>$K125*aida!H122</f>
        <v>0</v>
      </c>
      <c r="I125" s="11">
        <f>$K125*aida!I122</f>
        <v>0</v>
      </c>
      <c r="J125" s="12"/>
      <c r="K125" s="12">
        <v>1.0</v>
      </c>
      <c r="L125" s="12" t="s">
        <v>274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0" t="str">
        <f>aida!A123</f>
        <v>B.3. Strumenti finanziari derivati passivi</v>
      </c>
      <c r="B126" s="11">
        <f>$K126*aida!B123</f>
        <v>0</v>
      </c>
      <c r="C126" s="11">
        <f>$K126*aida!C123</f>
        <v>0</v>
      </c>
      <c r="D126" s="11">
        <f>$K126*aida!D123</f>
        <v>0</v>
      </c>
      <c r="E126" s="11">
        <f>$K126*aida!E123</f>
        <v>0</v>
      </c>
      <c r="F126" s="11">
        <f>$K126*aida!F123</f>
        <v>0</v>
      </c>
      <c r="G126" s="11">
        <f>$K126*aida!G123</f>
        <v>0</v>
      </c>
      <c r="H126" s="11">
        <f>$K126*aida!H123</f>
        <v>0</v>
      </c>
      <c r="I126" s="11">
        <f>$K126*aida!I123</f>
        <v>0</v>
      </c>
      <c r="J126" s="12"/>
      <c r="K126" s="12">
        <v>1.0</v>
      </c>
      <c r="L126" s="12" t="s">
        <v>275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0" t="str">
        <f>aida!A124</f>
        <v>B.4. Altri Fondi</v>
      </c>
      <c r="B127" s="11">
        <f>$K127*aida!B124</f>
        <v>0</v>
      </c>
      <c r="C127" s="11">
        <f>$K127*aida!C124</f>
        <v>0</v>
      </c>
      <c r="D127" s="11">
        <f>$K127*aida!D124</f>
        <v>0</v>
      </c>
      <c r="E127" s="11">
        <f>$K127*aida!E124</f>
        <v>0</v>
      </c>
      <c r="F127" s="11">
        <f>$K127*aida!F124</f>
        <v>0</v>
      </c>
      <c r="G127" s="11">
        <f>$K127*aida!G124</f>
        <v>0</v>
      </c>
      <c r="H127" s="11">
        <f>$K127*aida!H124</f>
        <v>41042</v>
      </c>
      <c r="I127" s="11">
        <f>$K127*aida!I124</f>
        <v>41042</v>
      </c>
      <c r="J127" s="12"/>
      <c r="K127" s="12">
        <v>1.0</v>
      </c>
      <c r="L127" s="12" t="s">
        <v>273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0" t="str">
        <f>aida!A125</f>
        <v>di cui : fondo di consolidamento</v>
      </c>
      <c r="B128" s="11">
        <f>$K128*aida!B125</f>
        <v>0</v>
      </c>
      <c r="C128" s="11">
        <f>$K128*aida!C125</f>
        <v>0</v>
      </c>
      <c r="D128" s="11">
        <f>$K128*aida!D125</f>
        <v>0</v>
      </c>
      <c r="E128" s="11">
        <f>$K128*aida!E125</f>
        <v>0</v>
      </c>
      <c r="F128" s="11">
        <f>$K128*aida!F125</f>
        <v>0</v>
      </c>
      <c r="G128" s="11">
        <f>$K128*aida!G125</f>
        <v>0</v>
      </c>
      <c r="H128" s="11">
        <f>$K128*aida!H125</f>
        <v>0</v>
      </c>
      <c r="I128" s="11">
        <f>$K128*aida!I125</f>
        <v>0</v>
      </c>
      <c r="J128" s="12"/>
      <c r="K128" s="12">
        <v>1.0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7" t="str">
        <f>aida!A126</f>
        <v>C. TRATTAMENTO DI FINE RAPPORTO</v>
      </c>
      <c r="B129" s="8">
        <f>$K129*aida!B126</f>
        <v>191675</v>
      </c>
      <c r="C129" s="8">
        <f>$K129*aida!C126</f>
        <v>179286</v>
      </c>
      <c r="D129" s="8">
        <f>$K129*aida!D126</f>
        <v>189098</v>
      </c>
      <c r="E129" s="8">
        <f>$K129*aida!E126</f>
        <v>197380</v>
      </c>
      <c r="F129" s="8">
        <f>$K129*aida!F126</f>
        <v>174392</v>
      </c>
      <c r="G129" s="8">
        <f>$K129*aida!G126</f>
        <v>206556</v>
      </c>
      <c r="H129" s="8">
        <f>$K129*aida!H126</f>
        <v>187238</v>
      </c>
      <c r="I129" s="8">
        <f>$K129*aida!I126</f>
        <v>173667</v>
      </c>
      <c r="J129" s="9"/>
      <c r="K129" s="9">
        <v>1.0</v>
      </c>
      <c r="L129" s="9" t="s">
        <v>276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20" t="str">
        <f>aida!A127</f>
        <v>Debiti</v>
      </c>
      <c r="B130" s="11">
        <f>$K130*aida!B127</f>
        <v>0</v>
      </c>
      <c r="C130" s="11">
        <f>$K130*aida!C127</f>
        <v>0</v>
      </c>
      <c r="D130" s="11">
        <f>$K130*aida!D127</f>
        <v>0</v>
      </c>
      <c r="E130" s="11">
        <f>$K130*aida!E127</f>
        <v>0</v>
      </c>
      <c r="F130" s="11">
        <f>$K130*aida!F127</f>
        <v>0</v>
      </c>
      <c r="G130" s="11">
        <f>$K130*aida!G127</f>
        <v>0</v>
      </c>
      <c r="H130" s="11">
        <f>$K130*aida!H127</f>
        <v>0</v>
      </c>
      <c r="I130" s="11">
        <f>$K130*aida!I127</f>
        <v>0</v>
      </c>
      <c r="J130" s="12"/>
      <c r="K130" s="12">
        <v>1.0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7" t="str">
        <f>aida!A128</f>
        <v>D. TOTALE DEBITI</v>
      </c>
      <c r="B131" s="8">
        <f>$K131*aida!B128</f>
        <v>11906052</v>
      </c>
      <c r="C131" s="8">
        <f>$K131*aida!C128</f>
        <v>13914499</v>
      </c>
      <c r="D131" s="8">
        <f>$K131*aida!D128</f>
        <v>14618344</v>
      </c>
      <c r="E131" s="8">
        <f>$K131*aida!E128</f>
        <v>13815442</v>
      </c>
      <c r="F131" s="8">
        <f>$K131*aida!F128</f>
        <v>11347602</v>
      </c>
      <c r="G131" s="8">
        <f>$K131*aida!G128</f>
        <v>6671454</v>
      </c>
      <c r="H131" s="8">
        <f>$K131*aida!H128</f>
        <v>4468030</v>
      </c>
      <c r="I131" s="8">
        <f>$K131*aida!I128</f>
        <v>4868877</v>
      </c>
      <c r="J131" s="9"/>
      <c r="K131" s="9">
        <v>1.0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10" t="str">
        <f>aida!A129</f>
        <v>D.1. Obblig.ni entro</v>
      </c>
      <c r="B132" s="11">
        <f>$K132*aida!B129</f>
        <v>0</v>
      </c>
      <c r="C132" s="11">
        <f>$K132*aida!C129</f>
        <v>0</v>
      </c>
      <c r="D132" s="11">
        <f>$K132*aida!D129</f>
        <v>0</v>
      </c>
      <c r="E132" s="11">
        <f>$K132*aida!E129</f>
        <v>0</v>
      </c>
      <c r="F132" s="11">
        <f>$K132*aida!F129</f>
        <v>0</v>
      </c>
      <c r="G132" s="11">
        <f>$K132*aida!G129</f>
        <v>0</v>
      </c>
      <c r="H132" s="11">
        <f>$K132*aida!H129</f>
        <v>0</v>
      </c>
      <c r="I132" s="11">
        <f>$K132*aida!I129</f>
        <v>0</v>
      </c>
      <c r="J132" s="12"/>
      <c r="K132" s="12">
        <v>1.0</v>
      </c>
      <c r="L132" s="12" t="s">
        <v>277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0" t="str">
        <f>aida!A130</f>
        <v>D.1. Obblig.ni oltre</v>
      </c>
      <c r="B133" s="11">
        <f>$K133*aida!B130</f>
        <v>0</v>
      </c>
      <c r="C133" s="11">
        <f>$K133*aida!C130</f>
        <v>0</v>
      </c>
      <c r="D133" s="11">
        <f>$K133*aida!D130</f>
        <v>0</v>
      </c>
      <c r="E133" s="11">
        <f>$K133*aida!E130</f>
        <v>0</v>
      </c>
      <c r="F133" s="11">
        <f>$K133*aida!F130</f>
        <v>0</v>
      </c>
      <c r="G133" s="11">
        <f>$K133*aida!G130</f>
        <v>0</v>
      </c>
      <c r="H133" s="11">
        <f>$K133*aida!H130</f>
        <v>0</v>
      </c>
      <c r="I133" s="11">
        <f>$K133*aida!I130</f>
        <v>0</v>
      </c>
      <c r="J133" s="12"/>
      <c r="K133" s="12">
        <v>1.0</v>
      </c>
      <c r="L133" s="12" t="s">
        <v>278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0" t="str">
        <f>aida!A131</f>
        <v>D.2. Obblig.ni convert. entro</v>
      </c>
      <c r="B134" s="11">
        <f>$K134*aida!B131</f>
        <v>0</v>
      </c>
      <c r="C134" s="11">
        <f>$K134*aida!C131</f>
        <v>0</v>
      </c>
      <c r="D134" s="11">
        <f>$K134*aida!D131</f>
        <v>0</v>
      </c>
      <c r="E134" s="11">
        <f>$K134*aida!E131</f>
        <v>0</v>
      </c>
      <c r="F134" s="11">
        <f>$K134*aida!F131</f>
        <v>0</v>
      </c>
      <c r="G134" s="11">
        <f>$K134*aida!G131</f>
        <v>0</v>
      </c>
      <c r="H134" s="11">
        <f>$K134*aida!H131</f>
        <v>0</v>
      </c>
      <c r="I134" s="11">
        <f>$K134*aida!I131</f>
        <v>0</v>
      </c>
      <c r="J134" s="12"/>
      <c r="K134" s="12">
        <v>1.0</v>
      </c>
      <c r="L134" s="12" t="s">
        <v>277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0" t="str">
        <f>aida!A132</f>
        <v>D.2. Obblig.ni convert. oltre.</v>
      </c>
      <c r="B135" s="11">
        <f>$K135*aida!B132</f>
        <v>0</v>
      </c>
      <c r="C135" s="11">
        <f>$K135*aida!C132</f>
        <v>0</v>
      </c>
      <c r="D135" s="11">
        <f>$K135*aida!D132</f>
        <v>0</v>
      </c>
      <c r="E135" s="11">
        <f>$K135*aida!E132</f>
        <v>0</v>
      </c>
      <c r="F135" s="11">
        <f>$K135*aida!F132</f>
        <v>0</v>
      </c>
      <c r="G135" s="11">
        <f>$K135*aida!G132</f>
        <v>0</v>
      </c>
      <c r="H135" s="11">
        <f>$K135*aida!H132</f>
        <v>0</v>
      </c>
      <c r="I135" s="11">
        <f>$K135*aida!I132</f>
        <v>0</v>
      </c>
      <c r="J135" s="12"/>
      <c r="K135" s="12">
        <v>1.0</v>
      </c>
      <c r="L135" s="12" t="s">
        <v>278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0" t="str">
        <f>aida!A133</f>
        <v>D.3. Soci per Finanziamenti entro</v>
      </c>
      <c r="B136" s="11">
        <f>$K136*aida!B133</f>
        <v>0</v>
      </c>
      <c r="C136" s="11">
        <f>$K136*aida!C133</f>
        <v>0</v>
      </c>
      <c r="D136" s="11">
        <f>$K136*aida!D133</f>
        <v>0</v>
      </c>
      <c r="E136" s="11">
        <f>$K136*aida!E133</f>
        <v>0</v>
      </c>
      <c r="F136" s="11">
        <f>$K136*aida!F133</f>
        <v>0</v>
      </c>
      <c r="G136" s="11">
        <f>$K136*aida!G133</f>
        <v>0</v>
      </c>
      <c r="H136" s="11">
        <f>$K136*aida!H133</f>
        <v>0</v>
      </c>
      <c r="I136" s="11">
        <f>$K136*aida!I133</f>
        <v>0</v>
      </c>
      <c r="J136" s="12"/>
      <c r="K136" s="12">
        <v>1.0</v>
      </c>
      <c r="L136" s="12" t="s">
        <v>253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0" t="str">
        <f>aida!A134</f>
        <v>D.3. Soci per Finanziamenti oltre</v>
      </c>
      <c r="B137" s="11">
        <f>$K137*aida!B134</f>
        <v>0</v>
      </c>
      <c r="C137" s="11">
        <f>$K137*aida!C134</f>
        <v>0</v>
      </c>
      <c r="D137" s="11">
        <f>$K137*aida!D134</f>
        <v>0</v>
      </c>
      <c r="E137" s="11">
        <f>$K137*aida!E134</f>
        <v>0</v>
      </c>
      <c r="F137" s="11">
        <f>$K137*aida!F134</f>
        <v>0</v>
      </c>
      <c r="G137" s="11">
        <f>$K137*aida!G134</f>
        <v>0</v>
      </c>
      <c r="H137" s="11">
        <f>$K137*aida!H134</f>
        <v>0</v>
      </c>
      <c r="I137" s="11">
        <f>$K137*aida!I134</f>
        <v>0</v>
      </c>
      <c r="J137" s="12"/>
      <c r="K137" s="12">
        <v>1.0</v>
      </c>
      <c r="L137" s="12" t="s">
        <v>253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0" t="str">
        <f>aida!A135</f>
        <v>D.4. Banche entro l'esercizio</v>
      </c>
      <c r="B138" s="11">
        <f>$K138*aida!B135</f>
        <v>3395294</v>
      </c>
      <c r="C138" s="11">
        <f>$K138*aida!C135</f>
        <v>3987523</v>
      </c>
      <c r="D138" s="11">
        <f>$K138*aida!D135</f>
        <v>4519420</v>
      </c>
      <c r="E138" s="11">
        <f>$K138*aida!E135</f>
        <v>3495062</v>
      </c>
      <c r="F138" s="11">
        <f>$K138*aida!F135</f>
        <v>2923930</v>
      </c>
      <c r="G138" s="11">
        <f>$K138*aida!G135</f>
        <v>3390744</v>
      </c>
      <c r="H138" s="11">
        <f>$K138*aida!H135</f>
        <v>1825267</v>
      </c>
      <c r="I138" s="11">
        <f>$K138*aida!I135</f>
        <v>1954310</v>
      </c>
      <c r="J138" s="12"/>
      <c r="K138" s="12">
        <v>1.0</v>
      </c>
      <c r="L138" s="12" t="s">
        <v>277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0" t="str">
        <f>aida!A136</f>
        <v>D.4. Banche oltre l'esercizio</v>
      </c>
      <c r="B139" s="11">
        <f>$K139*aida!B136</f>
        <v>5110204</v>
      </c>
      <c r="C139" s="11">
        <f>$K139*aida!C136</f>
        <v>6691873</v>
      </c>
      <c r="D139" s="11">
        <f>$K139*aida!D136</f>
        <v>6691933</v>
      </c>
      <c r="E139" s="11">
        <f>$K139*aida!E136</f>
        <v>7333471</v>
      </c>
      <c r="F139" s="11">
        <f>$K139*aida!F136</f>
        <v>6304053</v>
      </c>
      <c r="G139" s="11">
        <f>$K139*aida!G136</f>
        <v>588287</v>
      </c>
      <c r="H139" s="11">
        <f>$K139*aida!H136</f>
        <v>808395</v>
      </c>
      <c r="I139" s="11">
        <f>$K139*aida!I136</f>
        <v>952264</v>
      </c>
      <c r="J139" s="12"/>
      <c r="K139" s="12">
        <v>1.0</v>
      </c>
      <c r="L139" s="12" t="s">
        <v>278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0" t="str">
        <f>aida!A137</f>
        <v>D.5. Altri finanziatori entro</v>
      </c>
      <c r="B140" s="11">
        <f>$K140*aida!B137</f>
        <v>435</v>
      </c>
      <c r="C140" s="11">
        <f>$K140*aida!C137</f>
        <v>435</v>
      </c>
      <c r="D140" s="11">
        <f>$K140*aida!D137</f>
        <v>435</v>
      </c>
      <c r="E140" s="11">
        <f>$K140*aida!E137</f>
        <v>435</v>
      </c>
      <c r="F140" s="11">
        <f>$K140*aida!F137</f>
        <v>310</v>
      </c>
      <c r="G140" s="11">
        <f>$K140*aida!G137</f>
        <v>0</v>
      </c>
      <c r="H140" s="11">
        <f>$K140*aida!H137</f>
        <v>120</v>
      </c>
      <c r="I140" s="11">
        <f>$K140*aida!I137</f>
        <v>0</v>
      </c>
      <c r="J140" s="12"/>
      <c r="K140" s="12">
        <v>1.0</v>
      </c>
      <c r="L140" s="12" t="s">
        <v>277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0" t="str">
        <f>aida!A138</f>
        <v>D.5. Altri finanziatori oltre</v>
      </c>
      <c r="B141" s="11">
        <f>$K141*aida!B138</f>
        <v>0</v>
      </c>
      <c r="C141" s="11">
        <f>$K141*aida!C138</f>
        <v>0</v>
      </c>
      <c r="D141" s="11">
        <f>$K141*aida!D138</f>
        <v>25580</v>
      </c>
      <c r="E141" s="11">
        <f>$K141*aida!E138</f>
        <v>38724</v>
      </c>
      <c r="F141" s="11">
        <f>$K141*aida!F138</f>
        <v>0</v>
      </c>
      <c r="G141" s="11">
        <f>$K141*aida!G138</f>
        <v>0</v>
      </c>
      <c r="H141" s="11">
        <f>$K141*aida!H138</f>
        <v>0</v>
      </c>
      <c r="I141" s="11">
        <f>$K141*aida!I138</f>
        <v>0</v>
      </c>
      <c r="J141" s="12"/>
      <c r="K141" s="12">
        <v>1.0</v>
      </c>
      <c r="L141" s="12" t="s">
        <v>278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0" t="str">
        <f>aida!A139</f>
        <v>D.6. Acconti entro</v>
      </c>
      <c r="B142" s="11">
        <f>$K142*aida!B139</f>
        <v>0</v>
      </c>
      <c r="C142" s="11">
        <f>$K142*aida!C139</f>
        <v>0</v>
      </c>
      <c r="D142" s="11">
        <f>$K142*aida!D139</f>
        <v>0</v>
      </c>
      <c r="E142" s="11">
        <f>$K142*aida!E139</f>
        <v>0</v>
      </c>
      <c r="F142" s="11">
        <f>$K142*aida!F139</f>
        <v>0</v>
      </c>
      <c r="G142" s="11">
        <f>$K142*aida!G139</f>
        <v>73</v>
      </c>
      <c r="H142" s="11">
        <f>$K142*aida!H139</f>
        <v>73</v>
      </c>
      <c r="I142" s="11">
        <f>$K142*aida!I139</f>
        <v>0</v>
      </c>
      <c r="J142" s="12"/>
      <c r="K142" s="12">
        <v>1.0</v>
      </c>
      <c r="L142" s="12" t="s">
        <v>279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0" t="str">
        <f>aida!A140</f>
        <v>D.6. Acconti oltre</v>
      </c>
      <c r="B143" s="11">
        <f>$K143*aida!B140</f>
        <v>0</v>
      </c>
      <c r="C143" s="11">
        <f>$K143*aida!C140</f>
        <v>0</v>
      </c>
      <c r="D143" s="11">
        <f>$K143*aida!D140</f>
        <v>0</v>
      </c>
      <c r="E143" s="11">
        <f>$K143*aida!E140</f>
        <v>0</v>
      </c>
      <c r="F143" s="11">
        <f>$K143*aida!F140</f>
        <v>0</v>
      </c>
      <c r="G143" s="11">
        <f>$K143*aida!G140</f>
        <v>0</v>
      </c>
      <c r="H143" s="11">
        <f>$K143*aida!H140</f>
        <v>0</v>
      </c>
      <c r="I143" s="11">
        <f>$K143*aida!I140</f>
        <v>0</v>
      </c>
      <c r="J143" s="12"/>
      <c r="K143" s="12">
        <v>1.0</v>
      </c>
      <c r="L143" s="12" t="s">
        <v>280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0" t="str">
        <f>aida!A141</f>
        <v>D.7. Fornitori entro</v>
      </c>
      <c r="B144" s="11">
        <f>$K144*aida!B141</f>
        <v>2274193</v>
      </c>
      <c r="C144" s="11">
        <f>$K144*aida!C141</f>
        <v>2343088</v>
      </c>
      <c r="D144" s="11">
        <f>$K144*aida!D141</f>
        <v>2517619</v>
      </c>
      <c r="E144" s="11">
        <f>$K144*aida!E141</f>
        <v>2142223</v>
      </c>
      <c r="F144" s="11">
        <f>$K144*aida!F141</f>
        <v>1385728</v>
      </c>
      <c r="G144" s="11">
        <f>$K144*aida!G141</f>
        <v>2083244</v>
      </c>
      <c r="H144" s="11">
        <f>$K144*aida!H141</f>
        <v>1195746</v>
      </c>
      <c r="I144" s="11">
        <f>$K144*aida!I141</f>
        <v>1264218</v>
      </c>
      <c r="J144" s="12"/>
      <c r="K144" s="12">
        <v>1.0</v>
      </c>
      <c r="L144" s="12" t="s">
        <v>281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0" t="str">
        <f>aida!A142</f>
        <v>D.7. Fornitori oltre</v>
      </c>
      <c r="B145" s="11">
        <f>$K145*aida!B142</f>
        <v>0</v>
      </c>
      <c r="C145" s="11">
        <f>$K145*aida!C142</f>
        <v>0</v>
      </c>
      <c r="D145" s="11">
        <f>$K145*aida!D142</f>
        <v>0</v>
      </c>
      <c r="E145" s="11">
        <f>$K145*aida!E142</f>
        <v>0</v>
      </c>
      <c r="F145" s="11">
        <f>$K145*aida!F142</f>
        <v>0</v>
      </c>
      <c r="G145" s="11">
        <f>$K145*aida!G142</f>
        <v>0</v>
      </c>
      <c r="H145" s="11">
        <f>$K145*aida!H142</f>
        <v>0</v>
      </c>
      <c r="I145" s="11">
        <f>$K145*aida!I142</f>
        <v>0</v>
      </c>
      <c r="J145" s="12"/>
      <c r="K145" s="12">
        <v>1.0</v>
      </c>
      <c r="L145" s="12" t="s">
        <v>281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0" t="str">
        <f>aida!A143</f>
        <v>D.8. Titoli di credito entro</v>
      </c>
      <c r="B146" s="11">
        <f>$K146*aida!B143</f>
        <v>0</v>
      </c>
      <c r="C146" s="11">
        <f>$K146*aida!C143</f>
        <v>0</v>
      </c>
      <c r="D146" s="11">
        <f>$K146*aida!D143</f>
        <v>0</v>
      </c>
      <c r="E146" s="11">
        <f>$K146*aida!E143</f>
        <v>0</v>
      </c>
      <c r="F146" s="11">
        <f>$K146*aida!F143</f>
        <v>0</v>
      </c>
      <c r="G146" s="11">
        <f>$K146*aida!G143</f>
        <v>0</v>
      </c>
      <c r="H146" s="11">
        <f>$K146*aida!H143</f>
        <v>0</v>
      </c>
      <c r="I146" s="11">
        <f>$K146*aida!I143</f>
        <v>0</v>
      </c>
      <c r="J146" s="12"/>
      <c r="K146" s="12">
        <v>1.0</v>
      </c>
      <c r="L146" s="12" t="s">
        <v>277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0" t="str">
        <f>aida!A144</f>
        <v>D.8. Titoli di credito oltre</v>
      </c>
      <c r="B147" s="11">
        <f>$K147*aida!B144</f>
        <v>0</v>
      </c>
      <c r="C147" s="11">
        <f>$K147*aida!C144</f>
        <v>0</v>
      </c>
      <c r="D147" s="11">
        <f>$K147*aida!D144</f>
        <v>0</v>
      </c>
      <c r="E147" s="11">
        <f>$K147*aida!E144</f>
        <v>0</v>
      </c>
      <c r="F147" s="11">
        <f>$K147*aida!F144</f>
        <v>0</v>
      </c>
      <c r="G147" s="11">
        <f>$K147*aida!G144</f>
        <v>0</v>
      </c>
      <c r="H147" s="11">
        <f>$K147*aida!H144</f>
        <v>0</v>
      </c>
      <c r="I147" s="11">
        <f>$K147*aida!I144</f>
        <v>0</v>
      </c>
      <c r="J147" s="12"/>
      <c r="K147" s="12">
        <v>1.0</v>
      </c>
      <c r="L147" s="12" t="s">
        <v>278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0" t="str">
        <f>aida!A145</f>
        <v>D.9. Imprese Controllate entro</v>
      </c>
      <c r="B148" s="11">
        <f>$K148*aida!B145</f>
        <v>0</v>
      </c>
      <c r="C148" s="11">
        <f>$K148*aida!C145</f>
        <v>0</v>
      </c>
      <c r="D148" s="11">
        <f>$K148*aida!D145</f>
        <v>0</v>
      </c>
      <c r="E148" s="11">
        <f>$K148*aida!E145</f>
        <v>0</v>
      </c>
      <c r="F148" s="11">
        <f>$K148*aida!F145</f>
        <v>0</v>
      </c>
      <c r="G148" s="11">
        <f>$K148*aida!G145</f>
        <v>0</v>
      </c>
      <c r="H148" s="11">
        <f>$K148*aida!H145</f>
        <v>0</v>
      </c>
      <c r="I148" s="11">
        <f>$K148*aida!I145</f>
        <v>0</v>
      </c>
      <c r="J148" s="12"/>
      <c r="K148" s="12">
        <v>1.0</v>
      </c>
      <c r="L148" s="12" t="s">
        <v>282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0" t="str">
        <f>aida!A146</f>
        <v>D.9. Imprese Controllate oltre</v>
      </c>
      <c r="B149" s="11">
        <f>$K149*aida!B146</f>
        <v>0</v>
      </c>
      <c r="C149" s="11">
        <f>$K149*aida!C146</f>
        <v>0</v>
      </c>
      <c r="D149" s="11">
        <f>$K149*aida!D146</f>
        <v>0</v>
      </c>
      <c r="E149" s="11">
        <f>$K149*aida!E146</f>
        <v>0</v>
      </c>
      <c r="F149" s="11">
        <f>$K149*aida!F146</f>
        <v>0</v>
      </c>
      <c r="G149" s="11">
        <f>$K149*aida!G146</f>
        <v>0</v>
      </c>
      <c r="H149" s="11">
        <f>$K149*aida!H146</f>
        <v>0</v>
      </c>
      <c r="I149" s="11">
        <f>$K149*aida!I146</f>
        <v>0</v>
      </c>
      <c r="J149" s="12"/>
      <c r="K149" s="12">
        <v>1.0</v>
      </c>
      <c r="L149" s="12" t="s">
        <v>282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0" t="str">
        <f>aida!A147</f>
        <v>D.10. Imprese Collegate entro</v>
      </c>
      <c r="B150" s="11">
        <f>$K150*aida!B147</f>
        <v>0</v>
      </c>
      <c r="C150" s="11">
        <f>$K150*aida!C147</f>
        <v>0</v>
      </c>
      <c r="D150" s="11">
        <f>$K150*aida!D147</f>
        <v>0</v>
      </c>
      <c r="E150" s="11">
        <f>$K150*aida!E147</f>
        <v>0</v>
      </c>
      <c r="F150" s="11">
        <f>$K150*aida!F147</f>
        <v>0</v>
      </c>
      <c r="G150" s="11">
        <f>$K150*aida!G147</f>
        <v>0</v>
      </c>
      <c r="H150" s="11">
        <f>$K150*aida!H147</f>
        <v>0</v>
      </c>
      <c r="I150" s="11">
        <f>$K150*aida!I147</f>
        <v>0</v>
      </c>
      <c r="J150" s="12"/>
      <c r="K150" s="12">
        <v>1.0</v>
      </c>
      <c r="L150" s="12" t="s">
        <v>282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0" t="str">
        <f>aida!A148</f>
        <v>D.10. Imprese Collegate oltre</v>
      </c>
      <c r="B151" s="11">
        <f>$K151*aida!B148</f>
        <v>0</v>
      </c>
      <c r="C151" s="11">
        <f>$K151*aida!C148</f>
        <v>0</v>
      </c>
      <c r="D151" s="11">
        <f>$K151*aida!D148</f>
        <v>0</v>
      </c>
      <c r="E151" s="11">
        <f>$K151*aida!E148</f>
        <v>0</v>
      </c>
      <c r="F151" s="11">
        <f>$K151*aida!F148</f>
        <v>0</v>
      </c>
      <c r="G151" s="11">
        <f>$K151*aida!G148</f>
        <v>0</v>
      </c>
      <c r="H151" s="11">
        <f>$K151*aida!H148</f>
        <v>0</v>
      </c>
      <c r="I151" s="11">
        <f>$K151*aida!I148</f>
        <v>0</v>
      </c>
      <c r="J151" s="12"/>
      <c r="K151" s="12">
        <v>1.0</v>
      </c>
      <c r="L151" s="12" t="s">
        <v>258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0" t="str">
        <f>aida!A149</f>
        <v>D.11. Controllanti entro</v>
      </c>
      <c r="B152" s="11">
        <f>$K152*aida!B149</f>
        <v>0</v>
      </c>
      <c r="C152" s="11">
        <f>$K152*aida!C149</f>
        <v>0</v>
      </c>
      <c r="D152" s="11">
        <f>$K152*aida!D149</f>
        <v>0</v>
      </c>
      <c r="E152" s="11">
        <f>$K152*aida!E149</f>
        <v>0</v>
      </c>
      <c r="F152" s="11">
        <f>$K152*aida!F149</f>
        <v>0</v>
      </c>
      <c r="G152" s="11">
        <f>$K152*aida!G149</f>
        <v>0</v>
      </c>
      <c r="H152" s="11">
        <f>$K152*aida!H149</f>
        <v>0</v>
      </c>
      <c r="I152" s="11">
        <f>$K152*aida!I149</f>
        <v>0</v>
      </c>
      <c r="J152" s="12"/>
      <c r="K152" s="12">
        <v>1.0</v>
      </c>
      <c r="L152" s="12" t="s">
        <v>253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0" t="str">
        <f>aida!A150</f>
        <v>D.11. Controllanti oltre</v>
      </c>
      <c r="B153" s="11">
        <f>$K153*aida!B150</f>
        <v>0</v>
      </c>
      <c r="C153" s="11">
        <f>$K153*aida!C150</f>
        <v>0</v>
      </c>
      <c r="D153" s="11">
        <f>$K153*aida!D150</f>
        <v>0</v>
      </c>
      <c r="E153" s="11">
        <f>$K153*aida!E150</f>
        <v>0</v>
      </c>
      <c r="F153" s="11">
        <f>$K153*aida!F150</f>
        <v>0</v>
      </c>
      <c r="G153" s="11">
        <f>$K153*aida!G150</f>
        <v>0</v>
      </c>
      <c r="H153" s="11">
        <f>$K153*aida!H150</f>
        <v>0</v>
      </c>
      <c r="I153" s="11">
        <f>$K153*aida!I150</f>
        <v>0</v>
      </c>
      <c r="J153" s="12"/>
      <c r="K153" s="12">
        <v>1.0</v>
      </c>
      <c r="L153" s="12" t="s">
        <v>253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0" t="str">
        <f>aida!A151</f>
        <v>D.11.bis. Debiti VS imprese sottoposte al controllo delle controllanti entro</v>
      </c>
      <c r="B154" s="11">
        <f>$K154*aida!B151</f>
        <v>0</v>
      </c>
      <c r="C154" s="11">
        <f>$K154*aida!C151</f>
        <v>0</v>
      </c>
      <c r="D154" s="11">
        <f>$K154*aida!D151</f>
        <v>0</v>
      </c>
      <c r="E154" s="11">
        <f>$K154*aida!E151</f>
        <v>0</v>
      </c>
      <c r="F154" s="11">
        <f>$K154*aida!F151</f>
        <v>0</v>
      </c>
      <c r="G154" s="11">
        <f>$K154*aida!G151</f>
        <v>0</v>
      </c>
      <c r="H154" s="11">
        <f>$K154*aida!H151</f>
        <v>0</v>
      </c>
      <c r="I154" s="11">
        <f>$K154*aida!I151</f>
        <v>0</v>
      </c>
      <c r="J154" s="12"/>
      <c r="K154" s="12">
        <v>1.0</v>
      </c>
      <c r="L154" s="12" t="s">
        <v>253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0" t="str">
        <f>aida!A152</f>
        <v>D.11.bis. Debiti VS imprese sottoposte al controllo delle controllanti oltre</v>
      </c>
      <c r="B155" s="11">
        <f>$K155*aida!B152</f>
        <v>0</v>
      </c>
      <c r="C155" s="11">
        <f>$K155*aida!C152</f>
        <v>0</v>
      </c>
      <c r="D155" s="11">
        <f>$K155*aida!D152</f>
        <v>0</v>
      </c>
      <c r="E155" s="11">
        <f>$K155*aida!E152</f>
        <v>0</v>
      </c>
      <c r="F155" s="11">
        <f>$K155*aida!F152</f>
        <v>0</v>
      </c>
      <c r="G155" s="11">
        <f>$K155*aida!G152</f>
        <v>0</v>
      </c>
      <c r="H155" s="11">
        <f>$K155*aida!H152</f>
        <v>0</v>
      </c>
      <c r="I155" s="11">
        <f>$K155*aida!I152</f>
        <v>0</v>
      </c>
      <c r="J155" s="12"/>
      <c r="K155" s="12">
        <v>1.0</v>
      </c>
      <c r="L155" s="12" t="s">
        <v>253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0" t="str">
        <f>aida!A153</f>
        <v>D.12. Debiti Tributari entro</v>
      </c>
      <c r="B156" s="11">
        <f>$K156*aida!B153</f>
        <v>235721</v>
      </c>
      <c r="C156" s="11">
        <f>$K156*aida!C153</f>
        <v>135216</v>
      </c>
      <c r="D156" s="11">
        <f>$K156*aida!D153</f>
        <v>65377</v>
      </c>
      <c r="E156" s="11">
        <f>$K156*aida!E153</f>
        <v>105582</v>
      </c>
      <c r="F156" s="11">
        <f>$K156*aida!F153</f>
        <v>106674</v>
      </c>
      <c r="G156" s="11">
        <f>$K156*aida!G153</f>
        <v>51877</v>
      </c>
      <c r="H156" s="11">
        <f>$K156*aida!H153</f>
        <v>163119</v>
      </c>
      <c r="I156" s="11">
        <f>$K156*aida!I153</f>
        <v>243381</v>
      </c>
      <c r="J156" s="12"/>
      <c r="K156" s="12">
        <v>1.0</v>
      </c>
      <c r="L156" s="12" t="s">
        <v>283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0" t="str">
        <f>aida!A154</f>
        <v>D.12. Debiti Tributari oltre</v>
      </c>
      <c r="B157" s="11">
        <f>$K157*aida!B154</f>
        <v>0</v>
      </c>
      <c r="C157" s="11">
        <f>$K157*aida!C154</f>
        <v>0</v>
      </c>
      <c r="D157" s="11">
        <f>$K157*aida!D154</f>
        <v>0</v>
      </c>
      <c r="E157" s="11">
        <f>$K157*aida!E154</f>
        <v>0</v>
      </c>
      <c r="F157" s="11">
        <f>$K157*aida!F154</f>
        <v>0</v>
      </c>
      <c r="G157" s="11">
        <f>$K157*aida!G154</f>
        <v>0</v>
      </c>
      <c r="H157" s="11">
        <f>$K157*aida!H154</f>
        <v>0</v>
      </c>
      <c r="I157" s="11">
        <f>$K157*aida!I154</f>
        <v>0</v>
      </c>
      <c r="J157" s="12"/>
      <c r="K157" s="12">
        <v>1.0</v>
      </c>
      <c r="L157" s="12" t="s">
        <v>283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0" t="str">
        <f>aida!A155</f>
        <v>D.13. Istituti previdenza entro</v>
      </c>
      <c r="B158" s="11">
        <f>$K158*aida!B155</f>
        <v>70140</v>
      </c>
      <c r="C158" s="11">
        <f>$K158*aida!C155</f>
        <v>86558</v>
      </c>
      <c r="D158" s="11">
        <f>$K158*aida!D155</f>
        <v>64694</v>
      </c>
      <c r="E158" s="11">
        <f>$K158*aida!E155</f>
        <v>66189</v>
      </c>
      <c r="F158" s="11">
        <f>$K158*aida!F155</f>
        <v>45686</v>
      </c>
      <c r="G158" s="11">
        <f>$K158*aida!G155</f>
        <v>58094</v>
      </c>
      <c r="H158" s="11">
        <f>$K158*aida!H155</f>
        <v>53295</v>
      </c>
      <c r="I158" s="11">
        <f>$K158*aida!I155</f>
        <v>60311</v>
      </c>
      <c r="J158" s="12"/>
      <c r="K158" s="12">
        <v>1.0</v>
      </c>
      <c r="L158" s="12" t="s">
        <v>283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0" t="str">
        <f>aida!A156</f>
        <v>D.13. Istituti previdenza oltre</v>
      </c>
      <c r="B159" s="11">
        <f>$K159*aida!B156</f>
        <v>0</v>
      </c>
      <c r="C159" s="11">
        <f>$K159*aida!C156</f>
        <v>0</v>
      </c>
      <c r="D159" s="11">
        <f>$K159*aida!D156</f>
        <v>0</v>
      </c>
      <c r="E159" s="11">
        <f>$K159*aida!E156</f>
        <v>0</v>
      </c>
      <c r="F159" s="11">
        <f>$K159*aida!F156</f>
        <v>0</v>
      </c>
      <c r="G159" s="11">
        <f>$K159*aida!G156</f>
        <v>0</v>
      </c>
      <c r="H159" s="11">
        <f>$K159*aida!H156</f>
        <v>0</v>
      </c>
      <c r="I159" s="11">
        <f>$K159*aida!I156</f>
        <v>0</v>
      </c>
      <c r="J159" s="12"/>
      <c r="K159" s="12">
        <v>1.0</v>
      </c>
      <c r="L159" s="12" t="s">
        <v>283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0" t="str">
        <f>aida!A157</f>
        <v>D.14. Altri Debiti entro</v>
      </c>
      <c r="B160" s="11">
        <f>$K160*aida!B157</f>
        <v>820065</v>
      </c>
      <c r="C160" s="11">
        <f>$K160*aida!C157</f>
        <v>669806</v>
      </c>
      <c r="D160" s="11">
        <f>$K160*aida!D157</f>
        <v>733286</v>
      </c>
      <c r="E160" s="11">
        <f>$K160*aida!E157</f>
        <v>633756</v>
      </c>
      <c r="F160" s="11">
        <f>$K160*aida!F157</f>
        <v>581221</v>
      </c>
      <c r="G160" s="11">
        <f>$K160*aida!G157</f>
        <v>499135</v>
      </c>
      <c r="H160" s="11">
        <f>$K160*aida!H157</f>
        <v>422015</v>
      </c>
      <c r="I160" s="11">
        <f>$K160*aida!I157</f>
        <v>394393</v>
      </c>
      <c r="J160" s="12"/>
      <c r="K160" s="12">
        <v>1.0</v>
      </c>
      <c r="L160" s="12" t="s">
        <v>279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0" t="str">
        <f>aida!A158</f>
        <v>D.14. Altri Debiti oltre</v>
      </c>
      <c r="B161" s="11">
        <f>$K161*aida!B158</f>
        <v>0</v>
      </c>
      <c r="C161" s="11">
        <f>$K161*aida!C158</f>
        <v>0</v>
      </c>
      <c r="D161" s="11">
        <f>$K161*aida!D158</f>
        <v>0</v>
      </c>
      <c r="E161" s="11">
        <f>$K161*aida!E158</f>
        <v>0</v>
      </c>
      <c r="F161" s="11">
        <f>$K161*aida!F158</f>
        <v>0</v>
      </c>
      <c r="G161" s="11">
        <f>$K161*aida!G158</f>
        <v>0</v>
      </c>
      <c r="H161" s="11">
        <f>$K161*aida!H158</f>
        <v>0</v>
      </c>
      <c r="I161" s="11">
        <f>$K161*aida!I158</f>
        <v>0</v>
      </c>
      <c r="J161" s="12"/>
      <c r="K161" s="12">
        <v>1.0</v>
      </c>
      <c r="L161" s="12" t="s">
        <v>280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20" t="str">
        <f>aida!A159</f>
        <v>D. DEBITI A BREVE</v>
      </c>
      <c r="B162" s="11">
        <f>$K162*aida!B159</f>
        <v>6795848</v>
      </c>
      <c r="C162" s="11">
        <f>$K162*aida!C159</f>
        <v>7222626</v>
      </c>
      <c r="D162" s="11">
        <f>$K162*aida!D159</f>
        <v>7900831</v>
      </c>
      <c r="E162" s="11">
        <f>$K162*aida!E159</f>
        <v>6443247</v>
      </c>
      <c r="F162" s="11">
        <f>$K162*aida!F159</f>
        <v>5043549</v>
      </c>
      <c r="G162" s="11">
        <f>$K162*aida!G159</f>
        <v>6083167</v>
      </c>
      <c r="H162" s="11">
        <f>$K162*aida!H159</f>
        <v>3659635</v>
      </c>
      <c r="I162" s="11">
        <f>$K162*aida!I159</f>
        <v>3916613</v>
      </c>
      <c r="J162" s="12"/>
      <c r="K162" s="12">
        <v>1.0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20" t="str">
        <f>aida!A160</f>
        <v>D. DEBITI A OLTRE</v>
      </c>
      <c r="B163" s="11">
        <f>$K163*aida!B160</f>
        <v>5110204</v>
      </c>
      <c r="C163" s="11">
        <f>$K163*aida!C160</f>
        <v>6691873</v>
      </c>
      <c r="D163" s="11">
        <f>$K163*aida!D160</f>
        <v>6717513</v>
      </c>
      <c r="E163" s="11">
        <f>$K163*aida!E160</f>
        <v>7372195</v>
      </c>
      <c r="F163" s="11">
        <f>$K163*aida!F160</f>
        <v>6304053</v>
      </c>
      <c r="G163" s="11">
        <f>$K163*aida!G160</f>
        <v>588287</v>
      </c>
      <c r="H163" s="11">
        <f>$K163*aida!H160</f>
        <v>808395</v>
      </c>
      <c r="I163" s="11">
        <f>$K163*aida!I160</f>
        <v>952264</v>
      </c>
      <c r="J163" s="12"/>
      <c r="K163" s="12">
        <v>1.0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20" t="str">
        <f>aida!A161</f>
        <v>Total debiti entro l'esercizio</v>
      </c>
      <c r="B164" s="11">
        <f>$K164*aida!B161</f>
        <v>6795848</v>
      </c>
      <c r="C164" s="11">
        <f>$K164*aida!C161</f>
        <v>7222626</v>
      </c>
      <c r="D164" s="11">
        <f>$K164*aida!D161</f>
        <v>7900831</v>
      </c>
      <c r="E164" s="11">
        <f>$K164*aida!E161</f>
        <v>6443247</v>
      </c>
      <c r="F164" s="11">
        <f>$K164*aida!F161</f>
        <v>5043549</v>
      </c>
      <c r="G164" s="11">
        <f>$K164*aida!G161</f>
        <v>6083167</v>
      </c>
      <c r="H164" s="11">
        <f>$K164*aida!H161</f>
        <v>3659635</v>
      </c>
      <c r="I164" s="11">
        <f>$K164*aida!I161</f>
        <v>3916613</v>
      </c>
      <c r="J164" s="12"/>
      <c r="K164" s="12">
        <v>1.0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20" t="str">
        <f>aida!A162</f>
        <v>Total debiti oltre l'esercizio</v>
      </c>
      <c r="B165" s="11">
        <f>$K165*aida!B162</f>
        <v>5110204</v>
      </c>
      <c r="C165" s="11">
        <f>$K165*aida!C162</f>
        <v>6691873</v>
      </c>
      <c r="D165" s="11">
        <f>$K165*aida!D162</f>
        <v>6717513</v>
      </c>
      <c r="E165" s="11">
        <f>$K165*aida!E162</f>
        <v>7372195</v>
      </c>
      <c r="F165" s="11">
        <f>$K165*aida!F162</f>
        <v>6304053</v>
      </c>
      <c r="G165" s="11">
        <f>$K165*aida!G162</f>
        <v>588287</v>
      </c>
      <c r="H165" s="11">
        <f>$K165*aida!H162</f>
        <v>808395</v>
      </c>
      <c r="I165" s="11">
        <f>$K165*aida!I162</f>
        <v>952264</v>
      </c>
      <c r="J165" s="12"/>
      <c r="K165" s="12">
        <v>1.0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7" t="str">
        <f>aida!A163</f>
        <v>E. RATEI E RISCONTI</v>
      </c>
      <c r="B166" s="8">
        <f>$K166*aida!B163</f>
        <v>935845</v>
      </c>
      <c r="C166" s="8">
        <f>$K166*aida!C163</f>
        <v>1233040</v>
      </c>
      <c r="D166" s="8">
        <f>$K166*aida!D163</f>
        <v>1254731</v>
      </c>
      <c r="E166" s="8">
        <f>$K166*aida!E163</f>
        <v>109486</v>
      </c>
      <c r="F166" s="8">
        <f>$K166*aida!F163</f>
        <v>67016</v>
      </c>
      <c r="G166" s="8">
        <f>$K166*aida!G163</f>
        <v>48670</v>
      </c>
      <c r="H166" s="8">
        <f>$K166*aida!H163</f>
        <v>25640</v>
      </c>
      <c r="I166" s="8">
        <f>$K166*aida!I163</f>
        <v>5493</v>
      </c>
      <c r="J166" s="9"/>
      <c r="K166" s="9">
        <v>1.0</v>
      </c>
      <c r="L166" s="9" t="s">
        <v>279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20" t="str">
        <f>aida!A164</f>
        <v>Aggio sui prestiti</v>
      </c>
      <c r="B167" s="11">
        <f>$K167*aida!B164</f>
        <v>0</v>
      </c>
      <c r="C167" s="11">
        <f>$K167*aida!C164</f>
        <v>0</v>
      </c>
      <c r="D167" s="11">
        <f>$K167*aida!D164</f>
        <v>0</v>
      </c>
      <c r="E167" s="11">
        <f>$K167*aida!E164</f>
        <v>0</v>
      </c>
      <c r="F167" s="11">
        <f>$K167*aida!F164</f>
        <v>0</v>
      </c>
      <c r="G167" s="11">
        <f>$K167*aida!G164</f>
        <v>0</v>
      </c>
      <c r="H167" s="11">
        <f>$K167*aida!H164</f>
        <v>0</v>
      </c>
      <c r="I167" s="11">
        <f>$K167*aida!I164</f>
        <v>0</v>
      </c>
      <c r="J167" s="12"/>
      <c r="K167" s="12">
        <v>1.0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4" t="str">
        <f>aida!A165</f>
        <v>TOTALE PASSIVO</v>
      </c>
      <c r="B168" s="15">
        <f>$K168*aida!B165</f>
        <v>18790859</v>
      </c>
      <c r="C168" s="15">
        <f>$K168*aida!C165</f>
        <v>20554377</v>
      </c>
      <c r="D168" s="15">
        <f>$K168*aida!D165</f>
        <v>20723060</v>
      </c>
      <c r="E168" s="15">
        <f>$K168*aida!E165</f>
        <v>18204611</v>
      </c>
      <c r="F168" s="15">
        <f>$K168*aida!F165</f>
        <v>14795011</v>
      </c>
      <c r="G168" s="15">
        <f>$K168*aida!G165</f>
        <v>9311398</v>
      </c>
      <c r="H168" s="15">
        <f>$K168*aida!H165</f>
        <v>6455031</v>
      </c>
      <c r="I168" s="15">
        <f>$K168*aida!I165</f>
        <v>6151737</v>
      </c>
      <c r="J168" s="9"/>
      <c r="K168" s="9">
        <v>1.0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20" t="str">
        <f>aida!A166</f>
        <v>TOTALE CONTI D'ORDINE</v>
      </c>
      <c r="B169" s="11">
        <f>$K169*aida!B166</f>
        <v>0</v>
      </c>
      <c r="C169" s="11">
        <f>$K169*aida!C166</f>
        <v>0</v>
      </c>
      <c r="D169" s="11">
        <f>$K169*aida!D166</f>
        <v>0</v>
      </c>
      <c r="E169" s="11">
        <f>$K169*aida!E166</f>
        <v>0</v>
      </c>
      <c r="F169" s="11">
        <f>$K169*aida!F166</f>
        <v>0</v>
      </c>
      <c r="G169" s="11">
        <f>$K169*aida!G166</f>
        <v>0</v>
      </c>
      <c r="H169" s="11">
        <f>$K169*aida!H166</f>
        <v>0</v>
      </c>
      <c r="I169" s="11">
        <f>$K169*aida!I166</f>
        <v>0</v>
      </c>
      <c r="J169" s="12"/>
      <c r="K169" s="12">
        <v>1.0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20"/>
      <c r="B170" s="11"/>
      <c r="C170" s="11"/>
      <c r="D170" s="11"/>
      <c r="E170" s="11"/>
      <c r="F170" s="11"/>
      <c r="G170" s="11"/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8.0" customHeight="1">
      <c r="A171" s="21" t="str">
        <f>aida!A167</f>
        <v>Conto economico</v>
      </c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7" t="str">
        <f>aida!A168</f>
        <v>A. TOT. VAL. DELLA PRODUZIONE</v>
      </c>
      <c r="B172" s="8">
        <f>$K172*aida!B168</f>
        <v>21175083</v>
      </c>
      <c r="C172" s="8">
        <f>$K172*aida!C168</f>
        <v>21333756</v>
      </c>
      <c r="D172" s="8">
        <f>$K172*aida!D168</f>
        <v>20175039</v>
      </c>
      <c r="E172" s="8">
        <f>$K172*aida!E168</f>
        <v>15943683</v>
      </c>
      <c r="F172" s="8">
        <f>$K172*aida!F168</f>
        <v>13994258</v>
      </c>
      <c r="G172" s="8">
        <f>$K172*aida!G168</f>
        <v>14096980</v>
      </c>
      <c r="H172" s="8">
        <f>$K172*aida!H168</f>
        <v>11927860</v>
      </c>
      <c r="I172" s="8">
        <f>$K172*aida!I168</f>
        <v>9845054</v>
      </c>
      <c r="J172" s="9"/>
      <c r="K172" s="9">
        <v>1.0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10" t="str">
        <f>aida!A169</f>
        <v>A.1. Ricavi vendite e prestazioni</v>
      </c>
      <c r="B173" s="11">
        <f>$K173*aida!B169</f>
        <v>21463379</v>
      </c>
      <c r="C173" s="11">
        <f>$K173*aida!C169</f>
        <v>20988520</v>
      </c>
      <c r="D173" s="11">
        <f>$K173*aida!D169</f>
        <v>17588847</v>
      </c>
      <c r="E173" s="11">
        <f>$K173*aida!E169</f>
        <v>15559839</v>
      </c>
      <c r="F173" s="11">
        <f>$K173*aida!F169</f>
        <v>14316092</v>
      </c>
      <c r="G173" s="11">
        <f>$K173*aida!G169</f>
        <v>13473198</v>
      </c>
      <c r="H173" s="11">
        <f>$K173*aida!H169</f>
        <v>11493812</v>
      </c>
      <c r="I173" s="11">
        <f>$K173*aida!I169</f>
        <v>9891413</v>
      </c>
      <c r="J173" s="12"/>
      <c r="K173" s="12">
        <v>1.0</v>
      </c>
      <c r="L173" s="12" t="s">
        <v>284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0" t="str">
        <f>aida!A170</f>
        <v>A.2. Var. rimanenze prodotti</v>
      </c>
      <c r="B174" s="11">
        <f>$K174*aida!B170</f>
        <v>-573471</v>
      </c>
      <c r="C174" s="11">
        <f>$K174*aida!C170</f>
        <v>-74468</v>
      </c>
      <c r="D174" s="11">
        <f>$K174*aida!D170</f>
        <v>2163754</v>
      </c>
      <c r="E174" s="11">
        <f>$K174*aida!E170</f>
        <v>288102</v>
      </c>
      <c r="F174" s="11">
        <f>$K174*aida!F170</f>
        <v>-377792</v>
      </c>
      <c r="G174" s="11">
        <f>$K174*aida!G170</f>
        <v>494422</v>
      </c>
      <c r="H174" s="11">
        <f>$K174*aida!H170</f>
        <v>386643</v>
      </c>
      <c r="I174" s="11">
        <f>$K174*aida!I170</f>
        <v>-75281</v>
      </c>
      <c r="J174" s="12"/>
      <c r="K174" s="12">
        <v>1.0</v>
      </c>
      <c r="L174" s="12" t="s">
        <v>285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0" t="str">
        <f>aida!A171</f>
        <v>A.3. Variazione lavori</v>
      </c>
      <c r="B175" s="11">
        <f>$K175*aida!B171</f>
        <v>0</v>
      </c>
      <c r="C175" s="11">
        <f>$K175*aida!C171</f>
        <v>0</v>
      </c>
      <c r="D175" s="11">
        <f>$K175*aida!D171</f>
        <v>0</v>
      </c>
      <c r="E175" s="11">
        <f>$K175*aida!E171</f>
        <v>0</v>
      </c>
      <c r="F175" s="11">
        <f>$K175*aida!F171</f>
        <v>0</v>
      </c>
      <c r="G175" s="11">
        <f>$K175*aida!G171</f>
        <v>0</v>
      </c>
      <c r="H175" s="11">
        <f>$K175*aida!H171</f>
        <v>0</v>
      </c>
      <c r="I175" s="11">
        <f>$K175*aida!I171</f>
        <v>0</v>
      </c>
      <c r="J175" s="12"/>
      <c r="K175" s="12">
        <v>1.0</v>
      </c>
      <c r="L175" s="12" t="s">
        <v>286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0" t="str">
        <f>aida!A172</f>
        <v>A.2. + A.3. Totale Variazioni</v>
      </c>
      <c r="B176" s="11">
        <f>$K176*aida!B172</f>
        <v>-573471</v>
      </c>
      <c r="C176" s="11">
        <f>$K176*aida!C172</f>
        <v>-74468</v>
      </c>
      <c r="D176" s="11">
        <f>$K176*aida!D172</f>
        <v>2163754</v>
      </c>
      <c r="E176" s="11">
        <f>$K176*aida!E172</f>
        <v>288102</v>
      </c>
      <c r="F176" s="11">
        <f>$K176*aida!F172</f>
        <v>-377792</v>
      </c>
      <c r="G176" s="11">
        <f>$K176*aida!G172</f>
        <v>494422</v>
      </c>
      <c r="H176" s="11">
        <f>$K176*aida!H172</f>
        <v>386643</v>
      </c>
      <c r="I176" s="11">
        <f>$K176*aida!I172</f>
        <v>-75281</v>
      </c>
      <c r="J176" s="12"/>
      <c r="K176" s="12">
        <v>1.0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0" t="str">
        <f>aida!A173</f>
        <v>A.4. Incrementi di immob.</v>
      </c>
      <c r="B177" s="11">
        <f>$K177*aida!B173</f>
        <v>0</v>
      </c>
      <c r="C177" s="11">
        <f>$K177*aida!C173</f>
        <v>0</v>
      </c>
      <c r="D177" s="11">
        <f>$K177*aida!D173</f>
        <v>0</v>
      </c>
      <c r="E177" s="11">
        <f>$K177*aida!E173</f>
        <v>0</v>
      </c>
      <c r="F177" s="11">
        <f>$K177*aida!F173</f>
        <v>0</v>
      </c>
      <c r="G177" s="11">
        <f>$K177*aida!G173</f>
        <v>0</v>
      </c>
      <c r="H177" s="11">
        <f>$K177*aida!H173</f>
        <v>0</v>
      </c>
      <c r="I177" s="11">
        <f>$K177*aida!I173</f>
        <v>0</v>
      </c>
      <c r="J177" s="12"/>
      <c r="K177" s="12">
        <v>1.0</v>
      </c>
      <c r="L177" s="12" t="s">
        <v>287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0" t="str">
        <f>aida!A174</f>
        <v>A.5. Altri ricavi</v>
      </c>
      <c r="B178" s="11">
        <f>$K178*aida!B174</f>
        <v>285175</v>
      </c>
      <c r="C178" s="11">
        <f>$K178*aida!C174</f>
        <v>419704</v>
      </c>
      <c r="D178" s="11">
        <f>$K178*aida!D174</f>
        <v>422438</v>
      </c>
      <c r="E178" s="11">
        <f>$K178*aida!E174</f>
        <v>95742</v>
      </c>
      <c r="F178" s="11">
        <f>$K178*aida!F174</f>
        <v>55958</v>
      </c>
      <c r="G178" s="11">
        <f>$K178*aida!G174</f>
        <v>129360</v>
      </c>
      <c r="H178" s="11">
        <f>$K178*aida!H174</f>
        <v>47405</v>
      </c>
      <c r="I178" s="11">
        <f>$K178*aida!I174</f>
        <v>28922</v>
      </c>
      <c r="J178" s="12"/>
      <c r="K178" s="12">
        <v>1.0</v>
      </c>
      <c r="L178" s="12" t="s">
        <v>284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0" t="str">
        <f>aida!A175</f>
        <v>Contributi in conto esercizio</v>
      </c>
      <c r="B179" s="11">
        <f>$K179*aida!B175</f>
        <v>97559</v>
      </c>
      <c r="C179" s="11">
        <f>$K179*aida!C175</f>
        <v>265833</v>
      </c>
      <c r="D179" s="11">
        <f>$K179*aida!D175</f>
        <v>189996</v>
      </c>
      <c r="E179" s="11">
        <f>$K179*aida!E175</f>
        <v>17223</v>
      </c>
      <c r="F179" s="11">
        <f>$K179*aida!F175</f>
        <v>35171</v>
      </c>
      <c r="G179" s="11">
        <f>$K179*aida!G175</f>
        <v>52406</v>
      </c>
      <c r="H179" s="11">
        <f>$K179*aida!H175</f>
        <v>21783</v>
      </c>
      <c r="I179" s="11">
        <f>$K179*aida!I175</f>
        <v>2994</v>
      </c>
      <c r="J179" s="12"/>
      <c r="K179" s="12">
        <v>1.0</v>
      </c>
      <c r="L179" s="12" t="s">
        <v>288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7" t="str">
        <f>aida!A176</f>
        <v>B. COSTI DELLA PRODUZIONE</v>
      </c>
      <c r="B180" s="8">
        <f>$K180*aida!B176</f>
        <v>19586234</v>
      </c>
      <c r="C180" s="8">
        <f>$K180*aida!C176</f>
        <v>20216429</v>
      </c>
      <c r="D180" s="8">
        <f>$K180*aida!D176</f>
        <v>19211064</v>
      </c>
      <c r="E180" s="8">
        <f>$K180*aida!E176</f>
        <v>14532426</v>
      </c>
      <c r="F180" s="8">
        <f>$K180*aida!F176</f>
        <v>12642532</v>
      </c>
      <c r="G180" s="8">
        <f>$K180*aida!G176</f>
        <v>13027353</v>
      </c>
      <c r="H180" s="8">
        <f>$K180*aida!H176</f>
        <v>10874910</v>
      </c>
      <c r="I180" s="8">
        <f>$K180*aida!I176</f>
        <v>9209207</v>
      </c>
      <c r="J180" s="9"/>
      <c r="K180" s="9">
        <v>1.0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10" t="str">
        <f>aida!A177</f>
        <v>B.6. Materie prime e consumo</v>
      </c>
      <c r="B181" s="11">
        <f>$K181*aida!B177</f>
        <v>-14699595</v>
      </c>
      <c r="C181" s="11">
        <f>$K181*aida!C177</f>
        <v>-14953922</v>
      </c>
      <c r="D181" s="11">
        <f>$K181*aida!D177</f>
        <v>-13825249</v>
      </c>
      <c r="E181" s="11">
        <f>$K181*aida!E177</f>
        <v>-10511247</v>
      </c>
      <c r="F181" s="11">
        <f>$K181*aida!F177</f>
        <v>-9060210</v>
      </c>
      <c r="G181" s="11">
        <f>$K181*aida!G177</f>
        <v>-9472095</v>
      </c>
      <c r="H181" s="11">
        <f>$K181*aida!H177</f>
        <v>-7620373</v>
      </c>
      <c r="I181" s="11">
        <f>$K181*aida!I177</f>
        <v>-6509298</v>
      </c>
      <c r="J181" s="12"/>
      <c r="K181" s="12">
        <v>-1.0</v>
      </c>
      <c r="L181" s="12" t="s">
        <v>289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0" t="str">
        <f>aida!A178</f>
        <v>B.7. Servizi</v>
      </c>
      <c r="B182" s="11">
        <f>$K182*aida!B178</f>
        <v>-2422226</v>
      </c>
      <c r="C182" s="11">
        <f>$K182*aida!C178</f>
        <v>-2512120</v>
      </c>
      <c r="D182" s="11">
        <f>$K182*aida!D178</f>
        <v>-2928006</v>
      </c>
      <c r="E182" s="11">
        <f>$K182*aida!E178</f>
        <v>-2010409</v>
      </c>
      <c r="F182" s="11">
        <f>$K182*aida!F178</f>
        <v>-1917407</v>
      </c>
      <c r="G182" s="11">
        <f>$K182*aida!G178</f>
        <v>-1966664</v>
      </c>
      <c r="H182" s="11">
        <f>$K182*aida!H178</f>
        <v>-1696231</v>
      </c>
      <c r="I182" s="11">
        <f>$K182*aida!I178</f>
        <v>-1342031</v>
      </c>
      <c r="J182" s="12"/>
      <c r="K182" s="12">
        <v>-1.0</v>
      </c>
      <c r="L182" s="12" t="s">
        <v>290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0" t="str">
        <f>aida!A179</f>
        <v>B.8. Godimento beni di terzi</v>
      </c>
      <c r="B183" s="11">
        <f>$K183*aida!B179</f>
        <v>-117380</v>
      </c>
      <c r="C183" s="11">
        <f>$K183*aida!C179</f>
        <v>-75105</v>
      </c>
      <c r="D183" s="11">
        <f>$K183*aida!D179</f>
        <v>-85474</v>
      </c>
      <c r="E183" s="11">
        <f>$K183*aida!E179</f>
        <v>-78590</v>
      </c>
      <c r="F183" s="11">
        <f>$K183*aida!F179</f>
        <v>-73502</v>
      </c>
      <c r="G183" s="11">
        <f>$K183*aida!G179</f>
        <v>-66140</v>
      </c>
      <c r="H183" s="11">
        <f>$K183*aida!H179</f>
        <v>-53268</v>
      </c>
      <c r="I183" s="11">
        <f>$K183*aida!I179</f>
        <v>-64128</v>
      </c>
      <c r="J183" s="12"/>
      <c r="K183" s="12">
        <v>-1.0</v>
      </c>
      <c r="L183" s="12" t="s">
        <v>291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0" t="str">
        <f>aida!A180</f>
        <v>B.9. Totale costi del personale</v>
      </c>
      <c r="B184" s="11">
        <f>$K184*aida!B180</f>
        <v>-1498458</v>
      </c>
      <c r="C184" s="11">
        <f>$K184*aida!C180</f>
        <v>-1556067</v>
      </c>
      <c r="D184" s="11">
        <f>$K184*aida!D180</f>
        <v>-1602450</v>
      </c>
      <c r="E184" s="11">
        <f>$K184*aida!E180</f>
        <v>-1479224</v>
      </c>
      <c r="F184" s="11">
        <f>$K184*aida!F180</f>
        <v>-1291439</v>
      </c>
      <c r="G184" s="11">
        <f>$K184*aida!G180</f>
        <v>-1276116</v>
      </c>
      <c r="H184" s="11">
        <f>$K184*aida!H180</f>
        <v>-1096036</v>
      </c>
      <c r="I184" s="11">
        <f>$K184*aida!I180</f>
        <v>-863572</v>
      </c>
      <c r="J184" s="24"/>
      <c r="K184" s="12">
        <v>-1.0</v>
      </c>
      <c r="L184" s="12" t="s">
        <v>292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0" t="str">
        <f>aida!A181</f>
        <v>B.9.a. Salari e stipendi</v>
      </c>
      <c r="B185" s="11">
        <f>$K185*aida!B181</f>
        <v>1114481</v>
      </c>
      <c r="C185" s="11">
        <f>$K185*aida!C181</f>
        <v>1153603</v>
      </c>
      <c r="D185" s="11">
        <f>$K185*aida!D181</f>
        <v>1171537</v>
      </c>
      <c r="E185" s="11">
        <f>$K185*aida!E181</f>
        <v>1109703</v>
      </c>
      <c r="F185" s="11">
        <f>$K185*aida!F181</f>
        <v>995556</v>
      </c>
      <c r="G185" s="11">
        <f>$K185*aida!G181</f>
        <v>970126</v>
      </c>
      <c r="H185" s="11">
        <f>$K185*aida!H181</f>
        <v>843534</v>
      </c>
      <c r="I185" s="11">
        <f>$K185*aida!I181</f>
        <v>639901</v>
      </c>
      <c r="J185" s="24"/>
      <c r="K185" s="12">
        <v>1.0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0" t="str">
        <f>aida!A182</f>
        <v>B.9.b. Oneri sociali</v>
      </c>
      <c r="B186" s="11">
        <f>$K186*aida!B182</f>
        <v>304319</v>
      </c>
      <c r="C186" s="11">
        <f>$K186*aida!C182</f>
        <v>320564</v>
      </c>
      <c r="D186" s="11">
        <f>$K186*aida!D182</f>
        <v>339324</v>
      </c>
      <c r="E186" s="11">
        <f>$K186*aida!E182</f>
        <v>306352</v>
      </c>
      <c r="F186" s="11">
        <f>$K186*aida!F182</f>
        <v>246288</v>
      </c>
      <c r="G186" s="11">
        <f>$K186*aida!G182</f>
        <v>257238</v>
      </c>
      <c r="H186" s="11">
        <f>$K186*aida!H182</f>
        <v>208162</v>
      </c>
      <c r="I186" s="11">
        <f>$K186*aida!I182</f>
        <v>183386</v>
      </c>
      <c r="J186" s="12"/>
      <c r="K186" s="12">
        <v>1.0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0" t="str">
        <f>aida!A183</f>
        <v>B.9.c. Tratt. fine rapporto</v>
      </c>
      <c r="B187" s="11">
        <f>$K187*aida!B183</f>
        <v>34063</v>
      </c>
      <c r="C187" s="11">
        <f>$K187*aida!C183</f>
        <v>69740</v>
      </c>
      <c r="D187" s="11">
        <f>$K187*aida!D183</f>
        <v>82699</v>
      </c>
      <c r="E187" s="11">
        <f>$K187*aida!E183</f>
        <v>58425</v>
      </c>
      <c r="F187" s="11">
        <f>$K187*aida!F183</f>
        <v>46870</v>
      </c>
      <c r="G187" s="11">
        <f>$K187*aida!G183</f>
        <v>46263</v>
      </c>
      <c r="H187" s="11">
        <f>$K187*aida!H183</f>
        <v>42176</v>
      </c>
      <c r="I187" s="11">
        <f>$K187*aida!I183</f>
        <v>40285</v>
      </c>
      <c r="J187" s="12"/>
      <c r="K187" s="12">
        <v>1.0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0" t="str">
        <f>aida!A184</f>
        <v>B.9.d. Tratt. di quiescenza</v>
      </c>
      <c r="B188" s="11">
        <f>$K188*aida!B184</f>
        <v>39635</v>
      </c>
      <c r="C188" s="11">
        <f>$K188*aida!C184</f>
        <v>5780</v>
      </c>
      <c r="D188" s="11">
        <f>$K188*aida!D184</f>
        <v>2900</v>
      </c>
      <c r="E188" s="11">
        <f>$K188*aida!E184</f>
        <v>1409</v>
      </c>
      <c r="F188" s="11">
        <f>$K188*aida!F184</f>
        <v>1108</v>
      </c>
      <c r="G188" s="11">
        <f>$K188*aida!G184</f>
        <v>889</v>
      </c>
      <c r="H188" s="11">
        <f>$K188*aida!H184</f>
        <v>729</v>
      </c>
      <c r="I188" s="11">
        <f>$K188*aida!I184</f>
        <v>0</v>
      </c>
      <c r="J188" s="12"/>
      <c r="K188" s="12">
        <v>1.0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0" t="str">
        <f>aida!A185</f>
        <v>B.9.e. Altri costi</v>
      </c>
      <c r="B189" s="11">
        <f>$K189*aida!B185</f>
        <v>5960</v>
      </c>
      <c r="C189" s="11">
        <f>$K189*aida!C185</f>
        <v>6380</v>
      </c>
      <c r="D189" s="11">
        <f>$K189*aida!D185</f>
        <v>5990</v>
      </c>
      <c r="E189" s="11">
        <f>$K189*aida!E185</f>
        <v>3335</v>
      </c>
      <c r="F189" s="11">
        <f>$K189*aida!F185</f>
        <v>1617</v>
      </c>
      <c r="G189" s="11">
        <f>$K189*aida!G185</f>
        <v>1600</v>
      </c>
      <c r="H189" s="11">
        <f>$K189*aida!H185</f>
        <v>1435</v>
      </c>
      <c r="I189" s="11">
        <f>$K189*aida!I185</f>
        <v>0</v>
      </c>
      <c r="J189" s="12"/>
      <c r="K189" s="12">
        <v>1.0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0" t="str">
        <f>aida!A186</f>
        <v>B.9.f. TFR + quiescenza + altri costi</v>
      </c>
      <c r="B190" s="11">
        <f>$K190*aida!B186</f>
        <v>79658</v>
      </c>
      <c r="C190" s="11">
        <f>$K190*aida!C186</f>
        <v>81900</v>
      </c>
      <c r="D190" s="11">
        <f>$K190*aida!D186</f>
        <v>91589</v>
      </c>
      <c r="E190" s="11">
        <f>$K190*aida!E186</f>
        <v>63169</v>
      </c>
      <c r="F190" s="11">
        <f>$K190*aida!F186</f>
        <v>49595</v>
      </c>
      <c r="G190" s="11">
        <f>$K190*aida!G186</f>
        <v>48752</v>
      </c>
      <c r="H190" s="11">
        <f>$K190*aida!H186</f>
        <v>44340</v>
      </c>
      <c r="I190" s="11">
        <f>$K190*aida!I186</f>
        <v>40285</v>
      </c>
      <c r="J190" s="12"/>
      <c r="K190" s="12">
        <v>1.0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0" t="str">
        <f>aida!A187</f>
        <v>B.10. TOT Ammortamenti e svalut.</v>
      </c>
      <c r="B191" s="11">
        <f>$K191*aida!B187</f>
        <v>938458</v>
      </c>
      <c r="C191" s="11">
        <f>$K191*aida!C187</f>
        <v>919596</v>
      </c>
      <c r="D191" s="11">
        <f>$K191*aida!D187</f>
        <v>871102</v>
      </c>
      <c r="E191" s="11">
        <f>$K191*aida!E187</f>
        <v>486381</v>
      </c>
      <c r="F191" s="11">
        <f>$K191*aida!F187</f>
        <v>185223</v>
      </c>
      <c r="G191" s="11">
        <f>$K191*aida!G187</f>
        <v>193878</v>
      </c>
      <c r="H191" s="11">
        <f>$K191*aida!H187</f>
        <v>196923</v>
      </c>
      <c r="I191" s="11">
        <f>$K191*aida!I187</f>
        <v>182462</v>
      </c>
      <c r="J191" s="24"/>
      <c r="K191" s="12">
        <v>1.0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0" t="str">
        <f>aida!A188</f>
        <v>B.10.a. Amm. Immob. Immat.</v>
      </c>
      <c r="B192" s="11">
        <f>$K192*aida!B188</f>
        <v>-37282</v>
      </c>
      <c r="C192" s="11">
        <f>$K192*aida!C188</f>
        <v>-33337</v>
      </c>
      <c r="D192" s="11">
        <f>$K192*aida!D188</f>
        <v>-33064</v>
      </c>
      <c r="E192" s="11">
        <f>$K192*aida!E188</f>
        <v>-992</v>
      </c>
      <c r="F192" s="11">
        <f>$K192*aida!F188</f>
        <v>0</v>
      </c>
      <c r="G192" s="11">
        <f>$K192*aida!G188</f>
        <v>0</v>
      </c>
      <c r="H192" s="11">
        <f>$K192*aida!H188</f>
        <v>-1976</v>
      </c>
      <c r="I192" s="11">
        <f>$K192*aida!I188</f>
        <v>-1976</v>
      </c>
      <c r="J192" s="12"/>
      <c r="K192" s="12">
        <v>-1.0</v>
      </c>
      <c r="L192" s="12" t="s">
        <v>293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0" t="str">
        <f>aida!A189</f>
        <v>B.10.b. Amm. Immob. Mat.</v>
      </c>
      <c r="B193" s="11">
        <f>$K193*aida!B189</f>
        <v>-879520</v>
      </c>
      <c r="C193" s="11">
        <f>$K193*aida!C189</f>
        <v>-866491</v>
      </c>
      <c r="D193" s="11">
        <f>$K193*aida!D189</f>
        <v>-822987</v>
      </c>
      <c r="E193" s="11">
        <f>$K193*aida!E189</f>
        <v>-469298</v>
      </c>
      <c r="F193" s="11">
        <f>$K193*aida!F189</f>
        <v>-171279</v>
      </c>
      <c r="G193" s="11">
        <f>$K193*aida!G189</f>
        <v>-180598</v>
      </c>
      <c r="H193" s="11">
        <f>$K193*aida!H189</f>
        <v>-182986</v>
      </c>
      <c r="I193" s="11">
        <f>$K193*aida!I189</f>
        <v>-172299</v>
      </c>
      <c r="J193" s="12"/>
      <c r="K193" s="12">
        <v>-1.0</v>
      </c>
      <c r="L193" s="12" t="s">
        <v>293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0" t="str">
        <f>aida!A190</f>
        <v>B.10.c. Altre svalut. Immob.</v>
      </c>
      <c r="B194" s="11">
        <f>$K194*aida!B190</f>
        <v>0</v>
      </c>
      <c r="C194" s="11">
        <f>$K194*aida!C190</f>
        <v>0</v>
      </c>
      <c r="D194" s="11">
        <f>$K194*aida!D190</f>
        <v>0</v>
      </c>
      <c r="E194" s="11">
        <f>$K194*aida!E190</f>
        <v>0</v>
      </c>
      <c r="F194" s="11">
        <f>$K194*aida!F190</f>
        <v>0</v>
      </c>
      <c r="G194" s="11">
        <f>$K194*aida!G190</f>
        <v>0</v>
      </c>
      <c r="H194" s="11">
        <f>$K194*aida!H190</f>
        <v>0</v>
      </c>
      <c r="I194" s="11">
        <f>$K194*aida!I190</f>
        <v>0</v>
      </c>
      <c r="J194" s="12"/>
      <c r="K194" s="12">
        <v>-1.0</v>
      </c>
      <c r="L194" s="12" t="s">
        <v>294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0" t="str">
        <f>aida!A191</f>
        <v>B.10.a+b+c. Amm. e svalut. delle immob.</v>
      </c>
      <c r="B195" s="11">
        <f>$K195*aida!B191</f>
        <v>916802</v>
      </c>
      <c r="C195" s="11">
        <f>$K195*aida!C191</f>
        <v>899828</v>
      </c>
      <c r="D195" s="11">
        <f>$K195*aida!D191</f>
        <v>856051</v>
      </c>
      <c r="E195" s="11">
        <f>$K195*aida!E191</f>
        <v>470290</v>
      </c>
      <c r="F195" s="11">
        <f>$K195*aida!F191</f>
        <v>171279</v>
      </c>
      <c r="G195" s="11">
        <f>$K195*aida!G191</f>
        <v>180598</v>
      </c>
      <c r="H195" s="11">
        <f>$K195*aida!H191</f>
        <v>184962</v>
      </c>
      <c r="I195" s="11">
        <f>$K195*aida!I191</f>
        <v>174275</v>
      </c>
      <c r="J195" s="12"/>
      <c r="K195" s="12">
        <v>1.0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0" t="str">
        <f>aida!A192</f>
        <v>B.10.d. Svalut. crediti</v>
      </c>
      <c r="B196" s="11">
        <f>$K196*aida!B192</f>
        <v>-21656</v>
      </c>
      <c r="C196" s="11">
        <f>$K196*aida!C192</f>
        <v>-19768</v>
      </c>
      <c r="D196" s="11">
        <f>$K196*aida!D192</f>
        <v>-15051</v>
      </c>
      <c r="E196" s="11">
        <f>$K196*aida!E192</f>
        <v>-16091</v>
      </c>
      <c r="F196" s="11">
        <f>$K196*aida!F192</f>
        <v>-13944</v>
      </c>
      <c r="G196" s="11">
        <f>$K196*aida!G192</f>
        <v>-13280</v>
      </c>
      <c r="H196" s="11">
        <f>$K196*aida!H192</f>
        <v>-11961</v>
      </c>
      <c r="I196" s="11">
        <f>$K196*aida!I192</f>
        <v>-8187</v>
      </c>
      <c r="J196" s="12"/>
      <c r="K196" s="12">
        <v>-1.0</v>
      </c>
      <c r="L196" s="12" t="s">
        <v>294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0" t="str">
        <f>aida!A193</f>
        <v>B.11. Variazione materie</v>
      </c>
      <c r="B197" s="11">
        <f>$K197*aida!B193</f>
        <v>141939</v>
      </c>
      <c r="C197" s="11">
        <f>$K197*aida!C193</f>
        <v>-135450</v>
      </c>
      <c r="D197" s="11">
        <f>$K197*aida!D193</f>
        <v>162139</v>
      </c>
      <c r="E197" s="11">
        <f>$K197*aida!E193</f>
        <v>79592</v>
      </c>
      <c r="F197" s="11">
        <f>$K197*aida!F193</f>
        <v>-76252</v>
      </c>
      <c r="G197" s="11">
        <f>$K197*aida!G193</f>
        <v>94059</v>
      </c>
      <c r="H197" s="11">
        <f>$K197*aida!H193</f>
        <v>-35037</v>
      </c>
      <c r="I197" s="11">
        <f>$K197*aida!I193</f>
        <v>61620</v>
      </c>
      <c r="J197" s="12"/>
      <c r="K197" s="12">
        <v>-1.0</v>
      </c>
      <c r="L197" s="12" t="s">
        <v>295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0" t="str">
        <f>aida!A194</f>
        <v>B.12. Accantonamenti per rischi</v>
      </c>
      <c r="B198" s="11">
        <f>$K198*aida!B194</f>
        <v>0</v>
      </c>
      <c r="C198" s="11">
        <f>$K198*aida!C194</f>
        <v>0</v>
      </c>
      <c r="D198" s="11">
        <f>$K198*aida!D194</f>
        <v>0</v>
      </c>
      <c r="E198" s="11">
        <f>$K198*aida!E194</f>
        <v>0</v>
      </c>
      <c r="F198" s="11">
        <f>$K198*aida!F194</f>
        <v>0</v>
      </c>
      <c r="G198" s="11">
        <f>$K198*aida!G194</f>
        <v>0</v>
      </c>
      <c r="H198" s="11">
        <f>$K198*aida!H194</f>
        <v>0</v>
      </c>
      <c r="I198" s="11">
        <f>$K198*aida!I194</f>
        <v>-41042</v>
      </c>
      <c r="J198" s="12"/>
      <c r="K198" s="12">
        <v>-1.0</v>
      </c>
      <c r="L198" s="12" t="s">
        <v>293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0" t="str">
        <f>aida!A195</f>
        <v>B.13. Altri accantonamenti</v>
      </c>
      <c r="B199" s="11">
        <f>$K199*aida!B195</f>
        <v>0</v>
      </c>
      <c r="C199" s="11">
        <f>$K199*aida!C195</f>
        <v>0</v>
      </c>
      <c r="D199" s="11">
        <f>$K199*aida!D195</f>
        <v>0</v>
      </c>
      <c r="E199" s="11">
        <f>$K199*aida!E195</f>
        <v>0</v>
      </c>
      <c r="F199" s="11">
        <f>$K199*aida!F195</f>
        <v>0</v>
      </c>
      <c r="G199" s="11">
        <f>$K199*aida!G195</f>
        <v>0</v>
      </c>
      <c r="H199" s="11">
        <f>$K199*aida!H195</f>
        <v>0</v>
      </c>
      <c r="I199" s="11">
        <f>$K199*aida!I195</f>
        <v>0</v>
      </c>
      <c r="J199" s="12"/>
      <c r="K199" s="12">
        <v>-1.0</v>
      </c>
      <c r="L199" s="12" t="s">
        <v>293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0" t="str">
        <f>aida!A196</f>
        <v>B.14. Oneri diversi di gestione</v>
      </c>
      <c r="B200" s="11">
        <f>$K200*aida!B196</f>
        <v>-52056</v>
      </c>
      <c r="C200" s="11">
        <f>$K200*aida!C196</f>
        <v>-64169</v>
      </c>
      <c r="D200" s="11">
        <f>$K200*aida!D196</f>
        <v>-60922</v>
      </c>
      <c r="E200" s="11">
        <f>$K200*aida!E196</f>
        <v>-46167</v>
      </c>
      <c r="F200" s="11">
        <f>$K200*aida!F196</f>
        <v>-38499</v>
      </c>
      <c r="G200" s="11">
        <f>$K200*aida!G196</f>
        <v>-146519</v>
      </c>
      <c r="H200" s="11">
        <f>$K200*aida!H196</f>
        <v>-177042</v>
      </c>
      <c r="I200" s="11">
        <f>$K200*aida!I196</f>
        <v>-268294</v>
      </c>
      <c r="J200" s="12"/>
      <c r="K200" s="12">
        <v>-1.0</v>
      </c>
      <c r="L200" s="12" t="s">
        <v>296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25" t="str">
        <f>aida!A197</f>
        <v>RISULTATO OPERATIVO</v>
      </c>
      <c r="B201" s="26">
        <f>$K201*aida!B197</f>
        <v>1588849</v>
      </c>
      <c r="C201" s="26">
        <f>$K201*aida!C197</f>
        <v>1117327</v>
      </c>
      <c r="D201" s="26">
        <f>$K201*aida!D197</f>
        <v>963975</v>
      </c>
      <c r="E201" s="26">
        <f>$K201*aida!E197</f>
        <v>1411257</v>
      </c>
      <c r="F201" s="26">
        <f>$K201*aida!F197</f>
        <v>1351726</v>
      </c>
      <c r="G201" s="26">
        <f>$K201*aida!G197</f>
        <v>1069627</v>
      </c>
      <c r="H201" s="26">
        <f>$K201*aida!H197</f>
        <v>1052950</v>
      </c>
      <c r="I201" s="26">
        <f>$K201*aida!I197</f>
        <v>635847</v>
      </c>
      <c r="J201" s="16"/>
      <c r="K201" s="16">
        <v>1.0</v>
      </c>
      <c r="L201" s="16"/>
      <c r="M201" s="27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0" t="str">
        <f>aida!A198</f>
        <v>Valore Aggiunto</v>
      </c>
      <c r="B202" s="28">
        <f>$K202*aida!B198</f>
        <v>4025765</v>
      </c>
      <c r="C202" s="28">
        <f>$K202*aida!C198</f>
        <v>3592990</v>
      </c>
      <c r="D202" s="28">
        <f>$K202*aida!D198</f>
        <v>3437527</v>
      </c>
      <c r="E202" s="28">
        <f>$K202*aida!E198</f>
        <v>3376862</v>
      </c>
      <c r="F202" s="28">
        <f>$K202*aida!F198</f>
        <v>2828388</v>
      </c>
      <c r="G202" s="28">
        <f>$K202*aida!G198</f>
        <v>2539621</v>
      </c>
      <c r="H202" s="28">
        <f>$K202*aida!H198</f>
        <v>2345909</v>
      </c>
      <c r="I202" s="28">
        <f>$K202*aida!I198</f>
        <v>1722923</v>
      </c>
      <c r="J202" s="29"/>
      <c r="K202" s="29">
        <v>1.0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>
      <c r="A203" s="7" t="str">
        <f>aida!A199</f>
        <v>C. TOTALE PROVENTI E ONERI FINANZIARI</v>
      </c>
      <c r="B203" s="8">
        <f>$K203*aida!B199</f>
        <v>-501648</v>
      </c>
      <c r="C203" s="8">
        <f>$K203*aida!C199</f>
        <v>-526256</v>
      </c>
      <c r="D203" s="8">
        <f>$K203*aida!D199</f>
        <v>-253466</v>
      </c>
      <c r="E203" s="8">
        <f>$K203*aida!E199</f>
        <v>-207017</v>
      </c>
      <c r="F203" s="8">
        <f>$K203*aida!F199</f>
        <v>-158955</v>
      </c>
      <c r="G203" s="8">
        <f>$K203*aida!G199</f>
        <v>-98799</v>
      </c>
      <c r="H203" s="8">
        <f>$K203*aida!H199</f>
        <v>-101816</v>
      </c>
      <c r="I203" s="8">
        <f>$K203*aida!I199</f>
        <v>-102408</v>
      </c>
      <c r="J203" s="9"/>
      <c r="K203" s="9">
        <v>1.0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10" t="str">
        <f>aida!A200</f>
        <v>C.15. Tot. proventi da partecip.</v>
      </c>
      <c r="B204" s="11">
        <f>$K204*aida!B200</f>
        <v>0</v>
      </c>
      <c r="C204" s="11">
        <f>$K204*aida!C200</f>
        <v>0</v>
      </c>
      <c r="D204" s="11">
        <f>$K204*aida!D200</f>
        <v>0</v>
      </c>
      <c r="E204" s="11">
        <f>$K204*aida!E200</f>
        <v>0</v>
      </c>
      <c r="F204" s="11">
        <f>$K204*aida!F200</f>
        <v>0</v>
      </c>
      <c r="G204" s="11">
        <f>$K204*aida!G200</f>
        <v>0</v>
      </c>
      <c r="H204" s="11">
        <f>$K204*aida!H200</f>
        <v>0</v>
      </c>
      <c r="I204" s="11">
        <f>$K204*aida!I200</f>
        <v>0</v>
      </c>
      <c r="J204" s="12"/>
      <c r="K204" s="12">
        <v>1.0</v>
      </c>
      <c r="L204" s="12" t="s">
        <v>297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0" t="str">
        <f>aida!A201</f>
        <v>di cui: verso contr.anti, collegate, contr.te e sottoposte ctrl controllanti</v>
      </c>
      <c r="B205" s="11">
        <f>$K205*aida!B201</f>
        <v>0</v>
      </c>
      <c r="C205" s="11">
        <f>$K205*aida!C201</f>
        <v>0</v>
      </c>
      <c r="D205" s="11">
        <f>$K205*aida!D201</f>
        <v>0</v>
      </c>
      <c r="E205" s="11">
        <f>$K205*aida!E201</f>
        <v>0</v>
      </c>
      <c r="F205" s="11">
        <f>$K205*aida!F201</f>
        <v>0</v>
      </c>
      <c r="G205" s="11">
        <f>$K205*aida!G201</f>
        <v>0</v>
      </c>
      <c r="H205" s="11">
        <f>$K205*aida!H201</f>
        <v>0</v>
      </c>
      <c r="I205" s="11">
        <f>$K205*aida!I201</f>
        <v>0</v>
      </c>
      <c r="J205" s="12"/>
      <c r="K205" s="12">
        <v>1.0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0" t="str">
        <f>aida!A202</f>
        <v>di cui: da imprese controllanti</v>
      </c>
      <c r="B206" s="11">
        <f>$K206*aida!B202</f>
        <v>0</v>
      </c>
      <c r="C206" s="11">
        <f>$K206*aida!C202</f>
        <v>0</v>
      </c>
      <c r="D206" s="11">
        <f>$K206*aida!D202</f>
        <v>0</v>
      </c>
      <c r="E206" s="11">
        <f>$K206*aida!E202</f>
        <v>0</v>
      </c>
      <c r="F206" s="11">
        <f>$K206*aida!F202</f>
        <v>0</v>
      </c>
      <c r="G206" s="11">
        <f>$K206*aida!G202</f>
        <v>0</v>
      </c>
      <c r="H206" s="11">
        <f>$K206*aida!H202</f>
        <v>0</v>
      </c>
      <c r="I206" s="11">
        <f>$K206*aida!I202</f>
        <v>0</v>
      </c>
      <c r="J206" s="12"/>
      <c r="K206" s="12">
        <v>1.0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0" t="str">
        <f>aida!A203</f>
        <v>di cui: da imprese sottoposte al controllo delle controllanti</v>
      </c>
      <c r="B207" s="11">
        <f>$K207*aida!B203</f>
        <v>0</v>
      </c>
      <c r="C207" s="11">
        <f>$K207*aida!C203</f>
        <v>0</v>
      </c>
      <c r="D207" s="11">
        <f>$K207*aida!D203</f>
        <v>0</v>
      </c>
      <c r="E207" s="11">
        <f>$K207*aida!E203</f>
        <v>0</v>
      </c>
      <c r="F207" s="11">
        <f>$K207*aida!F203</f>
        <v>0</v>
      </c>
      <c r="G207" s="11">
        <f>$K207*aida!G203</f>
        <v>0</v>
      </c>
      <c r="H207" s="11">
        <f>$K207*aida!H203</f>
        <v>0</v>
      </c>
      <c r="I207" s="11">
        <f>$K207*aida!I203</f>
        <v>0</v>
      </c>
      <c r="J207" s="12"/>
      <c r="K207" s="12">
        <v>1.0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0" t="str">
        <f>aida!A204</f>
        <v>C.16. TOT Altri Proventi</v>
      </c>
      <c r="B208" s="11">
        <f>$K208*aida!B204</f>
        <v>1756</v>
      </c>
      <c r="C208" s="11">
        <f>$K208*aida!C204</f>
        <v>2087</v>
      </c>
      <c r="D208" s="11">
        <f>$K208*aida!D204</f>
        <v>208</v>
      </c>
      <c r="E208" s="11">
        <f>$K208*aida!E204</f>
        <v>391</v>
      </c>
      <c r="F208" s="11">
        <f>$K208*aida!F204</f>
        <v>205</v>
      </c>
      <c r="G208" s="11">
        <f>$K208*aida!G204</f>
        <v>4131</v>
      </c>
      <c r="H208" s="11">
        <f>$K208*aida!H204</f>
        <v>185</v>
      </c>
      <c r="I208" s="11">
        <f>$K208*aida!I204</f>
        <v>99</v>
      </c>
      <c r="J208" s="12"/>
      <c r="K208" s="12">
        <v>1.0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0" t="str">
        <f>aida!A205</f>
        <v>C.16.a. Da Crediti</v>
      </c>
      <c r="B209" s="11">
        <f>$K209*aida!B205</f>
        <v>0</v>
      </c>
      <c r="C209" s="11">
        <f>$K209*aida!C205</f>
        <v>0</v>
      </c>
      <c r="D209" s="11">
        <f>$K209*aida!D205</f>
        <v>0</v>
      </c>
      <c r="E209" s="11">
        <f>$K209*aida!E205</f>
        <v>0</v>
      </c>
      <c r="F209" s="11">
        <f>$K209*aida!F205</f>
        <v>0</v>
      </c>
      <c r="G209" s="11">
        <f>$K209*aida!G205</f>
        <v>0</v>
      </c>
      <c r="H209" s="11">
        <f>$K209*aida!H205</f>
        <v>0</v>
      </c>
      <c r="I209" s="11">
        <f>$K209*aida!I205</f>
        <v>0</v>
      </c>
      <c r="J209" s="12"/>
      <c r="K209" s="12">
        <v>1.0</v>
      </c>
      <c r="L209" s="12" t="s">
        <v>298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0" t="str">
        <f>aida!A206</f>
        <v>di cui: verso contr.anti, collegate, contr.te e sottoposte ctrl controllanti</v>
      </c>
      <c r="B210" s="11">
        <f>$K210*aida!B206</f>
        <v>0</v>
      </c>
      <c r="C210" s="11">
        <f>$K210*aida!C206</f>
        <v>0</v>
      </c>
      <c r="D210" s="11">
        <f>$K210*aida!D206</f>
        <v>0</v>
      </c>
      <c r="E210" s="11">
        <f>$K210*aida!E206</f>
        <v>0</v>
      </c>
      <c r="F210" s="11">
        <f>$K210*aida!F206</f>
        <v>0</v>
      </c>
      <c r="G210" s="11">
        <f>$K210*aida!G206</f>
        <v>0</v>
      </c>
      <c r="H210" s="11">
        <f>$K210*aida!H206</f>
        <v>0</v>
      </c>
      <c r="I210" s="11">
        <f>$K210*aida!I206</f>
        <v>0</v>
      </c>
      <c r="J210" s="12"/>
      <c r="K210" s="12">
        <v>1.0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0" t="str">
        <f>aida!A207</f>
        <v>di cui: da imprese sottoposte al controllo delle controllanti</v>
      </c>
      <c r="B211" s="11">
        <f>$K211*aida!B207</f>
        <v>0</v>
      </c>
      <c r="C211" s="11">
        <f>$K211*aida!C207</f>
        <v>0</v>
      </c>
      <c r="D211" s="11">
        <f>$K211*aida!D207</f>
        <v>0</v>
      </c>
      <c r="E211" s="11">
        <f>$K211*aida!E207</f>
        <v>0</v>
      </c>
      <c r="F211" s="11">
        <f>$K211*aida!F207</f>
        <v>0</v>
      </c>
      <c r="G211" s="11">
        <f>$K211*aida!G207</f>
        <v>0</v>
      </c>
      <c r="H211" s="11">
        <f>$K211*aida!H207</f>
        <v>0</v>
      </c>
      <c r="I211" s="11">
        <f>$K211*aida!I207</f>
        <v>0</v>
      </c>
      <c r="J211" s="12"/>
      <c r="K211" s="12">
        <v>1.0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0" t="str">
        <f>aida!A208</f>
        <v>C.16.b. Da titoli iscr. imm.</v>
      </c>
      <c r="B212" s="11">
        <f>$K212*aida!B208</f>
        <v>0</v>
      </c>
      <c r="C212" s="11">
        <f>$K212*aida!C208</f>
        <v>0</v>
      </c>
      <c r="D212" s="11">
        <f>$K212*aida!D208</f>
        <v>0</v>
      </c>
      <c r="E212" s="11">
        <f>$K212*aida!E208</f>
        <v>0</v>
      </c>
      <c r="F212" s="11">
        <f>$K212*aida!F208</f>
        <v>0</v>
      </c>
      <c r="G212" s="11">
        <f>$K212*aida!G208</f>
        <v>0</v>
      </c>
      <c r="H212" s="11">
        <f>$K212*aida!H208</f>
        <v>0</v>
      </c>
      <c r="I212" s="11">
        <f>$K212*aida!I208</f>
        <v>0</v>
      </c>
      <c r="J212" s="12"/>
      <c r="K212" s="12">
        <v>1.0</v>
      </c>
      <c r="L212" s="12" t="s">
        <v>298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0" t="str">
        <f>aida!A209</f>
        <v>C.16.c. Da titoli iscr. att.circol.</v>
      </c>
      <c r="B213" s="11">
        <f>$K213*aida!B209</f>
        <v>0</v>
      </c>
      <c r="C213" s="11">
        <f>$K213*aida!C209</f>
        <v>0</v>
      </c>
      <c r="D213" s="11">
        <f>$K213*aida!D209</f>
        <v>0</v>
      </c>
      <c r="E213" s="11">
        <f>$K213*aida!E209</f>
        <v>0</v>
      </c>
      <c r="F213" s="11">
        <f>$K213*aida!F209</f>
        <v>0</v>
      </c>
      <c r="G213" s="11">
        <f>$K213*aida!G209</f>
        <v>0</v>
      </c>
      <c r="H213" s="11">
        <f>$K213*aida!H209</f>
        <v>0</v>
      </c>
      <c r="I213" s="11">
        <f>$K213*aida!I209</f>
        <v>0</v>
      </c>
      <c r="J213" s="12"/>
      <c r="K213" s="12">
        <v>1.0</v>
      </c>
      <c r="L213" s="12" t="s">
        <v>298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0" t="str">
        <f>aida!A210</f>
        <v>C.16.b+c. Proventi da Titoli</v>
      </c>
      <c r="B214" s="11">
        <f>$K214*aida!B210</f>
        <v>0</v>
      </c>
      <c r="C214" s="11">
        <f>$K214*aida!C210</f>
        <v>0</v>
      </c>
      <c r="D214" s="11">
        <f>$K214*aida!D210</f>
        <v>0</v>
      </c>
      <c r="E214" s="11">
        <f>$K214*aida!E210</f>
        <v>0</v>
      </c>
      <c r="F214" s="11">
        <f>$K214*aida!F210</f>
        <v>0</v>
      </c>
      <c r="G214" s="11">
        <f>$K214*aida!G210</f>
        <v>0</v>
      </c>
      <c r="H214" s="11">
        <f>$K214*aida!H210</f>
        <v>0</v>
      </c>
      <c r="I214" s="11">
        <f>$K214*aida!I210</f>
        <v>0</v>
      </c>
      <c r="J214" s="12"/>
      <c r="K214" s="12">
        <v>1.0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0" t="str">
        <f>aida!A211</f>
        <v>C.16.d. Proventi fin. Diversi</v>
      </c>
      <c r="B215" s="11">
        <f>$K215*aida!B211</f>
        <v>1756</v>
      </c>
      <c r="C215" s="11">
        <f>$K215*aida!C211</f>
        <v>2087</v>
      </c>
      <c r="D215" s="11">
        <f>$K215*aida!D211</f>
        <v>208</v>
      </c>
      <c r="E215" s="11">
        <f>$K215*aida!E211</f>
        <v>391</v>
      </c>
      <c r="F215" s="11">
        <f>$K215*aida!F211</f>
        <v>205</v>
      </c>
      <c r="G215" s="11">
        <f>$K215*aida!G211</f>
        <v>4131</v>
      </c>
      <c r="H215" s="11">
        <f>$K215*aida!H211</f>
        <v>185</v>
      </c>
      <c r="I215" s="11">
        <f>$K215*aida!I211</f>
        <v>99</v>
      </c>
      <c r="J215" s="12"/>
      <c r="K215" s="12">
        <v>1.0</v>
      </c>
      <c r="L215" s="12" t="s">
        <v>298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0" t="str">
        <f>aida!A212</f>
        <v>di cui: verso contr.anti, collegate, contr.te e sottoposte ctrl controllantil</v>
      </c>
      <c r="B216" s="11">
        <f>$K216*aida!B212</f>
        <v>0</v>
      </c>
      <c r="C216" s="11">
        <f>$K216*aida!C212</f>
        <v>0</v>
      </c>
      <c r="D216" s="11">
        <f>$K216*aida!D212</f>
        <v>0</v>
      </c>
      <c r="E216" s="11">
        <f>$K216*aida!E212</f>
        <v>0</v>
      </c>
      <c r="F216" s="11">
        <f>$K216*aida!F212</f>
        <v>0</v>
      </c>
      <c r="G216" s="11">
        <f>$K216*aida!G212</f>
        <v>0</v>
      </c>
      <c r="H216" s="11">
        <f>$K216*aida!H212</f>
        <v>0</v>
      </c>
      <c r="I216" s="11">
        <f>$K216*aida!I212</f>
        <v>0</v>
      </c>
      <c r="J216" s="12"/>
      <c r="K216" s="12">
        <v>1.0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0" t="str">
        <f>aida!A213</f>
        <v>di cui: da imprese sottoposte al controllo delle controllanti</v>
      </c>
      <c r="B217" s="11">
        <f>$K217*aida!B213</f>
        <v>0</v>
      </c>
      <c r="C217" s="11">
        <f>$K217*aida!C213</f>
        <v>0</v>
      </c>
      <c r="D217" s="11">
        <f>$K217*aida!D213</f>
        <v>0</v>
      </c>
      <c r="E217" s="11">
        <f>$K217*aida!E213</f>
        <v>0</v>
      </c>
      <c r="F217" s="11">
        <f>$K217*aida!F213</f>
        <v>0</v>
      </c>
      <c r="G217" s="11">
        <f>$K217*aida!G213</f>
        <v>0</v>
      </c>
      <c r="H217" s="11">
        <f>$K217*aida!H213</f>
        <v>0</v>
      </c>
      <c r="I217" s="11">
        <f>$K217*aida!I213</f>
        <v>0</v>
      </c>
      <c r="J217" s="12"/>
      <c r="K217" s="12">
        <v>1.0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0" t="str">
        <f>aida!A214</f>
        <v>C.17. Totale Oneri finanziari</v>
      </c>
      <c r="B218" s="11">
        <f>$K218*aida!B214</f>
        <v>-503404</v>
      </c>
      <c r="C218" s="11">
        <f>$K218*aida!C214</f>
        <v>-528343</v>
      </c>
      <c r="D218" s="11">
        <f>$K218*aida!D214</f>
        <v>-253674</v>
      </c>
      <c r="E218" s="11">
        <f>$K218*aida!E214</f>
        <v>-207408</v>
      </c>
      <c r="F218" s="11">
        <f>$K218*aida!F214</f>
        <v>-159160</v>
      </c>
      <c r="G218" s="11">
        <f>$K218*aida!G214</f>
        <v>-102930</v>
      </c>
      <c r="H218" s="11">
        <f>$K218*aida!H214</f>
        <v>-102001</v>
      </c>
      <c r="I218" s="11">
        <f>$K218*aida!I214</f>
        <v>-102507</v>
      </c>
      <c r="J218" s="12"/>
      <c r="K218" s="12">
        <v>-1.0</v>
      </c>
      <c r="L218" s="12" t="s">
        <v>299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0" t="str">
        <f>aida!A215</f>
        <v>di cui: verso contr.anti, collegate, contr.te e sottoposte ctrl controllanti</v>
      </c>
      <c r="B219" s="11">
        <f>$K219*aida!B215</f>
        <v>0</v>
      </c>
      <c r="C219" s="11">
        <f>$K219*aida!C215</f>
        <v>0</v>
      </c>
      <c r="D219" s="11">
        <f>$K219*aida!D215</f>
        <v>0</v>
      </c>
      <c r="E219" s="11">
        <f>$K219*aida!E215</f>
        <v>0</v>
      </c>
      <c r="F219" s="11">
        <f>$K219*aida!F215</f>
        <v>0</v>
      </c>
      <c r="G219" s="11">
        <f>$K219*aida!G215</f>
        <v>0</v>
      </c>
      <c r="H219" s="11">
        <f>$K219*aida!H215</f>
        <v>0</v>
      </c>
      <c r="I219" s="11">
        <f>$K219*aida!I215</f>
        <v>0</v>
      </c>
      <c r="J219" s="12"/>
      <c r="K219" s="12">
        <v>1.0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0" t="str">
        <f>aida!A216</f>
        <v>di cui: da imprese sottoposte al controllo delle controllanti</v>
      </c>
      <c r="B220" s="11">
        <f>$K220*aida!B216</f>
        <v>0</v>
      </c>
      <c r="C220" s="11">
        <f>$K220*aida!C216</f>
        <v>0</v>
      </c>
      <c r="D220" s="11">
        <f>$K220*aida!D216</f>
        <v>0</v>
      </c>
      <c r="E220" s="11">
        <f>$K220*aida!E216</f>
        <v>0</v>
      </c>
      <c r="F220" s="11">
        <f>$K220*aida!F216</f>
        <v>0</v>
      </c>
      <c r="G220" s="11">
        <f>$K220*aida!G216</f>
        <v>0</v>
      </c>
      <c r="H220" s="11">
        <f>$K220*aida!H216</f>
        <v>0</v>
      </c>
      <c r="I220" s="11">
        <f>$K220*aida!I216</f>
        <v>0</v>
      </c>
      <c r="J220" s="12"/>
      <c r="K220" s="12">
        <v>1.0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0" t="str">
        <f>aida!A217</f>
        <v>C.17.bis Utili e perdite su cambi</v>
      </c>
      <c r="B221" s="11">
        <f>$K221*aida!B217</f>
        <v>0</v>
      </c>
      <c r="C221" s="11">
        <f>$K221*aida!C217</f>
        <v>0</v>
      </c>
      <c r="D221" s="11">
        <f>$K221*aida!D217</f>
        <v>0</v>
      </c>
      <c r="E221" s="11">
        <f>$K221*aida!E217</f>
        <v>0</v>
      </c>
      <c r="F221" s="11">
        <f>$K221*aida!F217</f>
        <v>0</v>
      </c>
      <c r="G221" s="11">
        <f>$K221*aida!G217</f>
        <v>0</v>
      </c>
      <c r="H221" s="11">
        <f>$K221*aida!H217</f>
        <v>0</v>
      </c>
      <c r="I221" s="11">
        <f>$K221*aida!I217</f>
        <v>0</v>
      </c>
      <c r="J221" s="12"/>
      <c r="K221" s="12">
        <v>1.0</v>
      </c>
      <c r="L221" s="12" t="s">
        <v>300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7" t="str">
        <f>aida!A218</f>
        <v>D. TOTALE RETTIFICHE ATT. FINANZ.</v>
      </c>
      <c r="B222" s="8">
        <f>$K222*aida!B218</f>
        <v>0</v>
      </c>
      <c r="C222" s="8">
        <f>$K222*aida!C218</f>
        <v>0</v>
      </c>
      <c r="D222" s="8">
        <f>$K222*aida!D218</f>
        <v>0</v>
      </c>
      <c r="E222" s="8">
        <f>$K222*aida!E218</f>
        <v>0</v>
      </c>
      <c r="F222" s="8">
        <f>$K222*aida!F218</f>
        <v>0</v>
      </c>
      <c r="G222" s="8">
        <f>$K222*aida!G218</f>
        <v>0</v>
      </c>
      <c r="H222" s="8">
        <f>$K222*aida!H218</f>
        <v>0</v>
      </c>
      <c r="I222" s="8">
        <f>$K222*aida!I218</f>
        <v>0</v>
      </c>
      <c r="J222" s="9"/>
      <c r="K222" s="9">
        <v>1.0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10" t="str">
        <f>aida!A219</f>
        <v>D.18. TOT Rivalutazioni</v>
      </c>
      <c r="B223" s="11">
        <f>$K223*aida!B219</f>
        <v>0</v>
      </c>
      <c r="C223" s="11">
        <f>$K223*aida!C219</f>
        <v>0</v>
      </c>
      <c r="D223" s="11">
        <f>$K223*aida!D219</f>
        <v>0</v>
      </c>
      <c r="E223" s="11">
        <f>$K223*aida!E219</f>
        <v>0</v>
      </c>
      <c r="F223" s="11">
        <f>$K223*aida!F219</f>
        <v>0</v>
      </c>
      <c r="G223" s="11">
        <f>$K223*aida!G219</f>
        <v>0</v>
      </c>
      <c r="H223" s="11">
        <f>$K223*aida!H219</f>
        <v>0</v>
      </c>
      <c r="I223" s="11">
        <f>$K223*aida!I219</f>
        <v>0</v>
      </c>
      <c r="J223" s="12"/>
      <c r="K223" s="12">
        <v>1.0</v>
      </c>
      <c r="L223" s="12" t="s">
        <v>301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0" t="str">
        <f>aida!A220</f>
        <v>D.18.a. Rivalut. di partec.</v>
      </c>
      <c r="B224" s="11">
        <f>$K224*aida!B220</f>
        <v>0</v>
      </c>
      <c r="C224" s="11">
        <f>$K224*aida!C220</f>
        <v>0</v>
      </c>
      <c r="D224" s="11">
        <f>$K224*aida!D220</f>
        <v>0</v>
      </c>
      <c r="E224" s="11">
        <f>$K224*aida!E220</f>
        <v>0</v>
      </c>
      <c r="F224" s="11">
        <f>$K224*aida!F220</f>
        <v>0</v>
      </c>
      <c r="G224" s="11">
        <f>$K224*aida!G220</f>
        <v>0</v>
      </c>
      <c r="H224" s="11">
        <f>$K224*aida!H220</f>
        <v>0</v>
      </c>
      <c r="I224" s="11">
        <f>$K224*aida!I220</f>
        <v>0</v>
      </c>
      <c r="J224" s="12"/>
      <c r="K224" s="12">
        <v>1.0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0" t="str">
        <f>aida!A221</f>
        <v>D.18.b. Rivalut. di altre imm. fin.</v>
      </c>
      <c r="B225" s="11">
        <f>$K225*aida!B221</f>
        <v>0</v>
      </c>
      <c r="C225" s="11">
        <f>$K225*aida!C221</f>
        <v>0</v>
      </c>
      <c r="D225" s="11">
        <f>$K225*aida!D221</f>
        <v>0</v>
      </c>
      <c r="E225" s="11">
        <f>$K225*aida!E221</f>
        <v>0</v>
      </c>
      <c r="F225" s="11">
        <f>$K225*aida!F221</f>
        <v>0</v>
      </c>
      <c r="G225" s="11">
        <f>$K225*aida!G221</f>
        <v>0</v>
      </c>
      <c r="H225" s="11">
        <f>$K225*aida!H221</f>
        <v>0</v>
      </c>
      <c r="I225" s="11">
        <f>$K225*aida!I221</f>
        <v>0</v>
      </c>
      <c r="J225" s="12"/>
      <c r="K225" s="12">
        <v>1.0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0" t="str">
        <f>aida!A222</f>
        <v>D.18.c. Rivalut. di titoli</v>
      </c>
      <c r="B226" s="11">
        <f>$K226*aida!B222</f>
        <v>0</v>
      </c>
      <c r="C226" s="11">
        <f>$K226*aida!C222</f>
        <v>0</v>
      </c>
      <c r="D226" s="11">
        <f>$K226*aida!D222</f>
        <v>0</v>
      </c>
      <c r="E226" s="11">
        <f>$K226*aida!E222</f>
        <v>0</v>
      </c>
      <c r="F226" s="11">
        <f>$K226*aida!F222</f>
        <v>0</v>
      </c>
      <c r="G226" s="11">
        <f>$K226*aida!G222</f>
        <v>0</v>
      </c>
      <c r="H226" s="11">
        <f>$K226*aida!H222</f>
        <v>0</v>
      </c>
      <c r="I226" s="11">
        <f>$K226*aida!I222</f>
        <v>0</v>
      </c>
      <c r="J226" s="12"/>
      <c r="K226" s="12">
        <v>1.0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0" t="str">
        <f>aida!A223</f>
        <v>D.18.d. Rivalut. di strumenti finanziari derivati</v>
      </c>
      <c r="B227" s="11">
        <f>$K227*aida!B223</f>
        <v>0</v>
      </c>
      <c r="C227" s="11">
        <f>$K227*aida!C223</f>
        <v>0</v>
      </c>
      <c r="D227" s="11">
        <f>$K227*aida!D223</f>
        <v>0</v>
      </c>
      <c r="E227" s="11">
        <f>$K227*aida!E223</f>
        <v>0</v>
      </c>
      <c r="F227" s="11">
        <f>$K227*aida!F223</f>
        <v>0</v>
      </c>
      <c r="G227" s="11">
        <f>$K227*aida!G223</f>
        <v>0</v>
      </c>
      <c r="H227" s="11">
        <f>$K227*aida!H223</f>
        <v>0</v>
      </c>
      <c r="I227" s="11">
        <f>$K227*aida!I223</f>
        <v>0</v>
      </c>
      <c r="J227" s="12"/>
      <c r="K227" s="12">
        <v>1.0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0" t="str">
        <f>aida!A224</f>
        <v>Rivalut. di attività finanziarie per la gestione accentrata della tesoreria</v>
      </c>
      <c r="B228" s="11">
        <f>$K228*aida!B224</f>
        <v>0</v>
      </c>
      <c r="C228" s="11">
        <f>$K228*aida!C224</f>
        <v>0</v>
      </c>
      <c r="D228" s="11">
        <f>$K228*aida!D224</f>
        <v>0</v>
      </c>
      <c r="E228" s="11">
        <f>$K228*aida!E224</f>
        <v>0</v>
      </c>
      <c r="F228" s="11">
        <f>$K228*aida!F224</f>
        <v>0</v>
      </c>
      <c r="G228" s="11">
        <f>$K228*aida!G224</f>
        <v>0</v>
      </c>
      <c r="H228" s="11">
        <f>$K228*aida!H224</f>
        <v>0</v>
      </c>
      <c r="I228" s="11">
        <f>$K228*aida!I224</f>
        <v>0</v>
      </c>
      <c r="J228" s="12"/>
      <c r="K228" s="12">
        <v>1.0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0" t="str">
        <f>aida!A225</f>
        <v>D.19. TOT Svalutazioni</v>
      </c>
      <c r="B229" s="11">
        <f>$K229*aida!B225</f>
        <v>0</v>
      </c>
      <c r="C229" s="11">
        <f>$K229*aida!C225</f>
        <v>0</v>
      </c>
      <c r="D229" s="11">
        <f>$K229*aida!D225</f>
        <v>0</v>
      </c>
      <c r="E229" s="11">
        <f>$K229*aida!E225</f>
        <v>0</v>
      </c>
      <c r="F229" s="11">
        <f>$K229*aida!F225</f>
        <v>0</v>
      </c>
      <c r="G229" s="11">
        <f>$K229*aida!G225</f>
        <v>0</v>
      </c>
      <c r="H229" s="11">
        <f>$K229*aida!H225</f>
        <v>0</v>
      </c>
      <c r="I229" s="11">
        <f>$K229*aida!I225</f>
        <v>0</v>
      </c>
      <c r="J229" s="12"/>
      <c r="K229" s="12">
        <v>-1.0</v>
      </c>
      <c r="L229" s="12" t="s">
        <v>301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0" t="str">
        <f>aida!A226</f>
        <v>D.19.a. Svalut. di partec.</v>
      </c>
      <c r="B230" s="11">
        <f>$K230*aida!B226</f>
        <v>0</v>
      </c>
      <c r="C230" s="11">
        <f>$K230*aida!C226</f>
        <v>0</v>
      </c>
      <c r="D230" s="11">
        <f>$K230*aida!D226</f>
        <v>0</v>
      </c>
      <c r="E230" s="11">
        <f>$K230*aida!E226</f>
        <v>0</v>
      </c>
      <c r="F230" s="11">
        <f>$K230*aida!F226</f>
        <v>0</v>
      </c>
      <c r="G230" s="11">
        <f>$K230*aida!G226</f>
        <v>0</v>
      </c>
      <c r="H230" s="11">
        <f>$K230*aida!H226</f>
        <v>0</v>
      </c>
      <c r="I230" s="11">
        <f>$K230*aida!I226</f>
        <v>0</v>
      </c>
      <c r="J230" s="12"/>
      <c r="K230" s="12">
        <v>1.0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0" t="str">
        <f>aida!A227</f>
        <v>D.19.b. Svalut. di altre imm. fin.</v>
      </c>
      <c r="B231" s="11">
        <f>$K231*aida!B227</f>
        <v>0</v>
      </c>
      <c r="C231" s="11">
        <f>$K231*aida!C227</f>
        <v>0</v>
      </c>
      <c r="D231" s="11">
        <f>$K231*aida!D227</f>
        <v>0</v>
      </c>
      <c r="E231" s="11">
        <f>$K231*aida!E227</f>
        <v>0</v>
      </c>
      <c r="F231" s="11">
        <f>$K231*aida!F227</f>
        <v>0</v>
      </c>
      <c r="G231" s="11">
        <f>$K231*aida!G227</f>
        <v>0</v>
      </c>
      <c r="H231" s="11">
        <f>$K231*aida!H227</f>
        <v>0</v>
      </c>
      <c r="I231" s="11">
        <f>$K231*aida!I227</f>
        <v>0</v>
      </c>
      <c r="J231" s="12"/>
      <c r="K231" s="12">
        <v>1.0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0" t="str">
        <f>aida!A228</f>
        <v>D.19.c. Svalut. di titoli</v>
      </c>
      <c r="B232" s="11">
        <f>$K232*aida!B228</f>
        <v>0</v>
      </c>
      <c r="C232" s="11">
        <f>$K232*aida!C228</f>
        <v>0</v>
      </c>
      <c r="D232" s="11">
        <f>$K232*aida!D228</f>
        <v>0</v>
      </c>
      <c r="E232" s="11">
        <f>$K232*aida!E228</f>
        <v>0</v>
      </c>
      <c r="F232" s="11">
        <f>$K232*aida!F228</f>
        <v>0</v>
      </c>
      <c r="G232" s="11">
        <f>$K232*aida!G228</f>
        <v>0</v>
      </c>
      <c r="H232" s="11">
        <f>$K232*aida!H228</f>
        <v>0</v>
      </c>
      <c r="I232" s="11">
        <f>$K232*aida!I228</f>
        <v>0</v>
      </c>
      <c r="J232" s="12"/>
      <c r="K232" s="12">
        <v>1.0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0" t="str">
        <f>aida!A229</f>
        <v>D.19.d. Svalut. di strumenti finanziari derivati</v>
      </c>
      <c r="B233" s="11">
        <f>$K233*aida!B229</f>
        <v>0</v>
      </c>
      <c r="C233" s="11">
        <f>$K233*aida!C229</f>
        <v>0</v>
      </c>
      <c r="D233" s="11">
        <f>$K233*aida!D229</f>
        <v>0</v>
      </c>
      <c r="E233" s="11">
        <f>$K233*aida!E229</f>
        <v>0</v>
      </c>
      <c r="F233" s="11">
        <f>$K233*aida!F229</f>
        <v>0</v>
      </c>
      <c r="G233" s="11">
        <f>$K233*aida!G229</f>
        <v>0</v>
      </c>
      <c r="H233" s="11">
        <f>$K233*aida!H229</f>
        <v>0</v>
      </c>
      <c r="I233" s="11">
        <f>$K233*aida!I229</f>
        <v>0</v>
      </c>
      <c r="J233" s="12"/>
      <c r="K233" s="12">
        <v>1.0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0" t="str">
        <f>aida!A230</f>
        <v>Svalut. di attività finanziarie per la gestione accentrata della tesoreria</v>
      </c>
      <c r="B234" s="11">
        <f>$K234*aida!B230</f>
        <v>0</v>
      </c>
      <c r="C234" s="11">
        <f>$K234*aida!C230</f>
        <v>0</v>
      </c>
      <c r="D234" s="11">
        <f>$K234*aida!D230</f>
        <v>0</v>
      </c>
      <c r="E234" s="11">
        <f>$K234*aida!E230</f>
        <v>0</v>
      </c>
      <c r="F234" s="11">
        <f>$K234*aida!F230</f>
        <v>0</v>
      </c>
      <c r="G234" s="11">
        <f>$K234*aida!G230</f>
        <v>0</v>
      </c>
      <c r="H234" s="11">
        <f>$K234*aida!H230</f>
        <v>0</v>
      </c>
      <c r="I234" s="11">
        <f>$K234*aida!I230</f>
        <v>0</v>
      </c>
      <c r="J234" s="12"/>
      <c r="K234" s="12">
        <v>1.0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25" t="str">
        <f>aida!A231</f>
        <v>TOTALE PROVENTI/ONERI STRAORDINARI</v>
      </c>
      <c r="B235" s="26">
        <f>$K235*aida!B231</f>
        <v>0</v>
      </c>
      <c r="C235" s="26">
        <f>$K235*aida!C231</f>
        <v>0</v>
      </c>
      <c r="D235" s="26">
        <f>$K235*aida!D231</f>
        <v>0</v>
      </c>
      <c r="E235" s="26">
        <f>$K235*aida!E231</f>
        <v>0</v>
      </c>
      <c r="F235" s="26">
        <f>$K235*aida!F231</f>
        <v>0</v>
      </c>
      <c r="G235" s="26">
        <f>$K235*aida!G231</f>
        <v>0</v>
      </c>
      <c r="H235" s="26">
        <f>$K235*aida!H231</f>
        <v>0</v>
      </c>
      <c r="I235" s="26">
        <f>$K235*aida!I231</f>
        <v>0</v>
      </c>
      <c r="J235" s="16"/>
      <c r="K235" s="16">
        <v>1.0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0" t="str">
        <f>aida!A232</f>
        <v>Proventi Straordinari</v>
      </c>
      <c r="B236" s="11">
        <f>$K236*aida!B232</f>
        <v>0</v>
      </c>
      <c r="C236" s="11">
        <f>$K236*aida!C232</f>
        <v>0</v>
      </c>
      <c r="D236" s="11">
        <f>$K236*aida!D232</f>
        <v>0</v>
      </c>
      <c r="E236" s="11">
        <f>$K236*aida!E232</f>
        <v>0</v>
      </c>
      <c r="F236" s="11">
        <f>$K236*aida!F232</f>
        <v>0</v>
      </c>
      <c r="G236" s="11">
        <f>$K236*aida!G232</f>
        <v>0</v>
      </c>
      <c r="H236" s="11">
        <f>$K236*aida!H232</f>
        <v>0</v>
      </c>
      <c r="I236" s="11">
        <f>$K236*aida!I232</f>
        <v>0</v>
      </c>
      <c r="J236" s="12"/>
      <c r="K236" s="12">
        <v>1.0</v>
      </c>
      <c r="L236" s="12" t="s">
        <v>301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0" t="str">
        <f>aida!A233</f>
        <v>di cui plusvalenze</v>
      </c>
      <c r="B237" s="11">
        <f>$K237*aida!B233</f>
        <v>0</v>
      </c>
      <c r="C237" s="11">
        <f>$K237*aida!C233</f>
        <v>0</v>
      </c>
      <c r="D237" s="11">
        <f>$K237*aida!D233</f>
        <v>0</v>
      </c>
      <c r="E237" s="11">
        <f>$K237*aida!E233</f>
        <v>0</v>
      </c>
      <c r="F237" s="11">
        <f>$K237*aida!F233</f>
        <v>0</v>
      </c>
      <c r="G237" s="11">
        <f>$K237*aida!G233</f>
        <v>0</v>
      </c>
      <c r="H237" s="11">
        <f>$K237*aida!H233</f>
        <v>0</v>
      </c>
      <c r="I237" s="11">
        <f>$K237*aida!I233</f>
        <v>0</v>
      </c>
      <c r="J237" s="12"/>
      <c r="K237" s="12">
        <v>1.0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0" t="str">
        <f>aida!A234</f>
        <v>Oneri Straordinari</v>
      </c>
      <c r="B238" s="11">
        <f>$K238*aida!B234</f>
        <v>0</v>
      </c>
      <c r="C238" s="11">
        <f>$K238*aida!C234</f>
        <v>0</v>
      </c>
      <c r="D238" s="11">
        <f>$K238*aida!D234</f>
        <v>0</v>
      </c>
      <c r="E238" s="11">
        <f>$K238*aida!E234</f>
        <v>0</v>
      </c>
      <c r="F238" s="11">
        <f>$K238*aida!F234</f>
        <v>0</v>
      </c>
      <c r="G238" s="11">
        <f>$K238*aida!G234</f>
        <v>0</v>
      </c>
      <c r="H238" s="11">
        <f>$K238*aida!H234</f>
        <v>0</v>
      </c>
      <c r="I238" s="11">
        <f>$K238*aida!I234</f>
        <v>0</v>
      </c>
      <c r="J238" s="12"/>
      <c r="K238" s="12">
        <v>-1.0</v>
      </c>
      <c r="L238" s="12" t="s">
        <v>301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0" t="str">
        <f>aida!A235</f>
        <v>di cui minusvalenze</v>
      </c>
      <c r="B239" s="11">
        <f>$K239*aida!B235</f>
        <v>0</v>
      </c>
      <c r="C239" s="11">
        <f>$K239*aida!C235</f>
        <v>0</v>
      </c>
      <c r="D239" s="11">
        <f>$K239*aida!D235</f>
        <v>0</v>
      </c>
      <c r="E239" s="11">
        <f>$K239*aida!E235</f>
        <v>0</v>
      </c>
      <c r="F239" s="11">
        <f>$K239*aida!F235</f>
        <v>0</v>
      </c>
      <c r="G239" s="11">
        <f>$K239*aida!G235</f>
        <v>0</v>
      </c>
      <c r="H239" s="11">
        <f>$K239*aida!H235</f>
        <v>0</v>
      </c>
      <c r="I239" s="11">
        <f>$K239*aida!I235</f>
        <v>0</v>
      </c>
      <c r="J239" s="12"/>
      <c r="K239" s="12">
        <v>1.0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0" t="str">
        <f>aida!A236</f>
        <v>di cui imposte esercizio precedente</v>
      </c>
      <c r="B240" s="11">
        <f>$K240*aida!B236</f>
        <v>0</v>
      </c>
      <c r="C240" s="11">
        <f>$K240*aida!C236</f>
        <v>0</v>
      </c>
      <c r="D240" s="11">
        <f>$K240*aida!D236</f>
        <v>0</v>
      </c>
      <c r="E240" s="11">
        <f>$K240*aida!E236</f>
        <v>0</v>
      </c>
      <c r="F240" s="11">
        <f>$K240*aida!F236</f>
        <v>0</v>
      </c>
      <c r="G240" s="11">
        <f>$K240*aida!G236</f>
        <v>0</v>
      </c>
      <c r="H240" s="11">
        <f>$K240*aida!H236</f>
        <v>0</v>
      </c>
      <c r="I240" s="11">
        <f>$K240*aida!I236</f>
        <v>0</v>
      </c>
      <c r="J240" s="12"/>
      <c r="K240" s="12">
        <v>1.0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25" t="str">
        <f>aida!A237</f>
        <v>RISULTATO PRIMA DELLE IMPOSTE</v>
      </c>
      <c r="B241" s="26">
        <f>$K241*aida!B237</f>
        <v>1087201</v>
      </c>
      <c r="C241" s="26">
        <f>$K241*aida!C237</f>
        <v>591071</v>
      </c>
      <c r="D241" s="26">
        <f>$K241*aida!D237</f>
        <v>710509</v>
      </c>
      <c r="E241" s="26">
        <f>$K241*aida!E237</f>
        <v>1204240</v>
      </c>
      <c r="F241" s="26">
        <f>$K241*aida!F237</f>
        <v>1192771</v>
      </c>
      <c r="G241" s="26">
        <f>$K241*aida!G237</f>
        <v>970828</v>
      </c>
      <c r="H241" s="26">
        <f>$K241*aida!H237</f>
        <v>951134</v>
      </c>
      <c r="I241" s="26">
        <f>$K241*aida!I237</f>
        <v>533439</v>
      </c>
      <c r="J241" s="16"/>
      <c r="K241" s="16">
        <v>1.0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3.5" customHeight="1">
      <c r="A242" s="7" t="str">
        <f>aida!A238</f>
        <v>20. Totale Imposte sul reddito correnti, differite e anticipate</v>
      </c>
      <c r="B242" s="8">
        <f>$K242*aida!B238</f>
        <v>-187468</v>
      </c>
      <c r="C242" s="8">
        <f>$K242*aida!C238</f>
        <v>-24404</v>
      </c>
      <c r="D242" s="8">
        <f>$K242*aida!D238</f>
        <v>-31928</v>
      </c>
      <c r="E242" s="8">
        <f>$K242*aida!E238</f>
        <v>-242937</v>
      </c>
      <c r="F242" s="8">
        <f>$K242*aida!F238</f>
        <v>-271489</v>
      </c>
      <c r="G242" s="8">
        <f>$K242*aida!G238</f>
        <v>-219192</v>
      </c>
      <c r="H242" s="8">
        <f>$K242*aida!H238</f>
        <v>-280709</v>
      </c>
      <c r="I242" s="8">
        <f>$K242*aida!I238</f>
        <v>-168693</v>
      </c>
      <c r="J242" s="9"/>
      <c r="K242" s="9">
        <v>-1.0</v>
      </c>
      <c r="L242" s="9" t="s">
        <v>302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20" t="str">
        <f>aida!A239</f>
        <v>Imposte correnti</v>
      </c>
      <c r="B243" s="11">
        <f>$K243*aida!B239</f>
        <v>187468</v>
      </c>
      <c r="C243" s="11">
        <f>$K243*aida!C239</f>
        <v>21620</v>
      </c>
      <c r="D243" s="11">
        <f>$K243*aida!D239</f>
        <v>31928</v>
      </c>
      <c r="E243" s="11">
        <f>$K243*aida!E239</f>
        <v>242937</v>
      </c>
      <c r="F243" s="11">
        <f>$K243*aida!F239</f>
        <v>271489</v>
      </c>
      <c r="G243" s="11">
        <f>$K243*aida!G239</f>
        <v>220987</v>
      </c>
      <c r="H243" s="11">
        <f>$K243*aida!H239</f>
        <v>281130</v>
      </c>
      <c r="I243" s="11">
        <f>$K243*aida!I239</f>
        <v>168693</v>
      </c>
      <c r="J243" s="12"/>
      <c r="K243" s="12">
        <v>1.0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20" t="str">
        <f>aida!A240</f>
        <v>Imposte relative a esercizi precedenti</v>
      </c>
      <c r="B244" s="11">
        <f>$K244*aida!B240</f>
        <v>0</v>
      </c>
      <c r="C244" s="11">
        <f>$K244*aida!C240</f>
        <v>2784</v>
      </c>
      <c r="D244" s="11">
        <f>$K244*aida!D240</f>
        <v>0</v>
      </c>
      <c r="E244" s="11">
        <f>$K244*aida!E240</f>
        <v>0</v>
      </c>
      <c r="F244" s="11">
        <f>$K244*aida!F240</f>
        <v>0</v>
      </c>
      <c r="G244" s="11">
        <f>$K244*aida!G240</f>
        <v>-1795</v>
      </c>
      <c r="H244" s="11">
        <f>$K244*aida!H240</f>
        <v>-421</v>
      </c>
      <c r="I244" s="11">
        <f>$K244*aida!I240</f>
        <v>0</v>
      </c>
      <c r="J244" s="12"/>
      <c r="K244" s="12">
        <v>1.0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20" t="str">
        <f>aida!A241</f>
        <v>Imposte differite e anticipate</v>
      </c>
      <c r="B245" s="11">
        <f>$K245*aida!B241</f>
        <v>0</v>
      </c>
      <c r="C245" s="11">
        <f>$K245*aida!C241</f>
        <v>0</v>
      </c>
      <c r="D245" s="11">
        <f>$K245*aida!D241</f>
        <v>0</v>
      </c>
      <c r="E245" s="11">
        <f>$K245*aida!E241</f>
        <v>0</v>
      </c>
      <c r="F245" s="11">
        <f>$K245*aida!F241</f>
        <v>0</v>
      </c>
      <c r="G245" s="11">
        <f>$K245*aida!G241</f>
        <v>0</v>
      </c>
      <c r="H245" s="11">
        <f>$K245*aida!H241</f>
        <v>0</v>
      </c>
      <c r="I245" s="11">
        <f>$K245*aida!I241</f>
        <v>0</v>
      </c>
      <c r="J245" s="12"/>
      <c r="K245" s="12">
        <v>1.0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20" t="str">
        <f>aida!A242</f>
        <v>Imposte differite (+/-)</v>
      </c>
      <c r="B246" s="11">
        <f>$K246*aida!B242</f>
        <v>0</v>
      </c>
      <c r="C246" s="11">
        <f>$K246*aida!C242</f>
        <v>0</v>
      </c>
      <c r="D246" s="11">
        <f>$K246*aida!D242</f>
        <v>0</v>
      </c>
      <c r="E246" s="11">
        <f>$K246*aida!E242</f>
        <v>0</v>
      </c>
      <c r="F246" s="11">
        <f>$K246*aida!F242</f>
        <v>0</v>
      </c>
      <c r="G246" s="11">
        <f>$K246*aida!G242</f>
        <v>0</v>
      </c>
      <c r="H246" s="11">
        <f>$K246*aida!H242</f>
        <v>0</v>
      </c>
      <c r="I246" s="11">
        <f>$K246*aida!I242</f>
        <v>0</v>
      </c>
      <c r="J246" s="12"/>
      <c r="K246" s="12">
        <v>1.0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20" t="str">
        <f>aida!A243</f>
        <v>Imposte anticipate (+/-)</v>
      </c>
      <c r="B247" s="11">
        <f>$K247*aida!B243</f>
        <v>0</v>
      </c>
      <c r="C247" s="11">
        <f>$K247*aida!C243</f>
        <v>0</v>
      </c>
      <c r="D247" s="11">
        <f>$K247*aida!D243</f>
        <v>0</v>
      </c>
      <c r="E247" s="11">
        <f>$K247*aida!E243</f>
        <v>0</v>
      </c>
      <c r="F247" s="11">
        <f>$K247*aida!F243</f>
        <v>0</v>
      </c>
      <c r="G247" s="11">
        <f>$K247*aida!G243</f>
        <v>0</v>
      </c>
      <c r="H247" s="11">
        <f>$K247*aida!H243</f>
        <v>0</v>
      </c>
      <c r="I247" s="11">
        <f>$K247*aida!I243</f>
        <v>0</v>
      </c>
      <c r="J247" s="12"/>
      <c r="K247" s="12">
        <v>1.0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20" t="str">
        <f>aida!A244</f>
        <v>Prov. (oneri) da adesione al regime di trasparenza fiscale</v>
      </c>
      <c r="B248" s="11">
        <f>$K248*aida!B244</f>
        <v>0</v>
      </c>
      <c r="C248" s="11">
        <f>$K248*aida!C244</f>
        <v>0</v>
      </c>
      <c r="D248" s="11">
        <f>$K248*aida!D244</f>
        <v>0</v>
      </c>
      <c r="E248" s="11">
        <f>$K248*aida!E244</f>
        <v>0</v>
      </c>
      <c r="F248" s="11">
        <f>$K248*aida!F244</f>
        <v>0</v>
      </c>
      <c r="G248" s="11">
        <f>$K248*aida!G244</f>
        <v>0</v>
      </c>
      <c r="H248" s="11">
        <f>$K248*aida!H244</f>
        <v>0</v>
      </c>
      <c r="I248" s="11">
        <f>$K248*aida!I244</f>
        <v>0</v>
      </c>
      <c r="J248" s="12"/>
      <c r="K248" s="12">
        <v>1.0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>
      <c r="A249" s="14" t="str">
        <f>aida!A245</f>
        <v>21. UTILE/PERDITA DI ESERCIZIO</v>
      </c>
      <c r="B249" s="15">
        <f>$K249*aida!B245</f>
        <v>899733</v>
      </c>
      <c r="C249" s="15">
        <f>$K249*aida!C245</f>
        <v>566667</v>
      </c>
      <c r="D249" s="15">
        <f>$K249*aida!D245</f>
        <v>678581</v>
      </c>
      <c r="E249" s="15">
        <f>$K249*aida!E245</f>
        <v>961303</v>
      </c>
      <c r="F249" s="15">
        <f>$K249*aida!F245</f>
        <v>921282</v>
      </c>
      <c r="G249" s="15">
        <f>$K249*aida!G245</f>
        <v>751636</v>
      </c>
      <c r="H249" s="15">
        <f>$K249*aida!H245</f>
        <v>670425</v>
      </c>
      <c r="I249" s="15">
        <f>$K249*aida!I245</f>
        <v>364746</v>
      </c>
      <c r="J249" s="9"/>
      <c r="K249" s="9">
        <v>1.0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30" t="str">
        <f>aida!A246</f>
        <v>UTILE/PERDITA DI ESERCIZIO di pert. di TERZI</v>
      </c>
      <c r="B250" s="31">
        <f>$K250*aida!B246</f>
        <v>0</v>
      </c>
      <c r="C250" s="31">
        <f>$K250*aida!C246</f>
        <v>0</v>
      </c>
      <c r="D250" s="31">
        <f>$K250*aida!D246</f>
        <v>0</v>
      </c>
      <c r="E250" s="31">
        <f>$K250*aida!E246</f>
        <v>0</v>
      </c>
      <c r="F250" s="31">
        <f>$K250*aida!F246</f>
        <v>0</v>
      </c>
      <c r="G250" s="31">
        <f>$K250*aida!G246</f>
        <v>0</v>
      </c>
      <c r="H250" s="31">
        <f>$K250*aida!H246</f>
        <v>0</v>
      </c>
      <c r="I250" s="31">
        <f>$K250*aida!I246</f>
        <v>0</v>
      </c>
      <c r="J250" s="12"/>
      <c r="K250" s="12">
        <v>1.0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20" t="str">
        <f>aida!A247</f>
        <v>BOME' S.P.A.</v>
      </c>
      <c r="B251" s="11"/>
      <c r="C251" s="11"/>
      <c r="D251" s="11"/>
      <c r="E251" s="11"/>
      <c r="F251" s="11"/>
      <c r="G251" s="11"/>
      <c r="H251" s="11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20" t="str">
        <f>aida!A248</f>
        <v>00369120225</v>
      </c>
      <c r="B252" s="11"/>
      <c r="C252" s="11"/>
      <c r="D252" s="11"/>
      <c r="E252" s="11"/>
      <c r="F252" s="11"/>
      <c r="G252" s="11"/>
      <c r="H252" s="11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20"/>
      <c r="B253" s="11"/>
      <c r="C253" s="11"/>
      <c r="D253" s="11"/>
      <c r="E253" s="11"/>
      <c r="F253" s="11"/>
      <c r="G253" s="11"/>
      <c r="H253" s="11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20"/>
      <c r="B254" s="11"/>
      <c r="C254" s="11"/>
      <c r="D254" s="11"/>
      <c r="E254" s="11"/>
      <c r="F254" s="11"/>
      <c r="G254" s="11"/>
      <c r="H254" s="11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20"/>
      <c r="B255" s="11"/>
      <c r="C255" s="11"/>
      <c r="D255" s="11"/>
      <c r="E255" s="11"/>
      <c r="F255" s="11"/>
      <c r="G255" s="11"/>
      <c r="H255" s="11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20"/>
      <c r="B256" s="11"/>
      <c r="C256" s="11"/>
      <c r="D256" s="11"/>
      <c r="E256" s="11"/>
      <c r="F256" s="11"/>
      <c r="G256" s="11"/>
      <c r="H256" s="11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20"/>
      <c r="B257" s="11"/>
      <c r="C257" s="11"/>
      <c r="D257" s="11"/>
      <c r="E257" s="11"/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20"/>
      <c r="B258" s="11"/>
      <c r="C258" s="11"/>
      <c r="D258" s="11"/>
      <c r="E258" s="11"/>
      <c r="F258" s="11"/>
      <c r="G258" s="11"/>
      <c r="H258" s="11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20"/>
      <c r="B259" s="11"/>
      <c r="C259" s="11"/>
      <c r="D259" s="11"/>
      <c r="E259" s="11"/>
      <c r="F259" s="11"/>
      <c r="G259" s="11"/>
      <c r="H259" s="11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20"/>
      <c r="B260" s="11"/>
      <c r="C260" s="11"/>
      <c r="D260" s="11"/>
      <c r="E260" s="11"/>
      <c r="F260" s="11"/>
      <c r="G260" s="11"/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20"/>
      <c r="B261" s="11"/>
      <c r="C261" s="11"/>
      <c r="D261" s="11"/>
      <c r="E261" s="11"/>
      <c r="F261" s="11"/>
      <c r="G261" s="11"/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20"/>
      <c r="B262" s="11"/>
      <c r="C262" s="11"/>
      <c r="D262" s="11"/>
      <c r="E262" s="11"/>
      <c r="F262" s="11"/>
      <c r="G262" s="11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20"/>
      <c r="B263" s="11"/>
      <c r="C263" s="11"/>
      <c r="D263" s="11"/>
      <c r="E263" s="11"/>
      <c r="F263" s="11"/>
      <c r="G263" s="11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20"/>
      <c r="B264" s="11"/>
      <c r="C264" s="11"/>
      <c r="D264" s="11"/>
      <c r="E264" s="11"/>
      <c r="F264" s="11"/>
      <c r="G264" s="11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20"/>
      <c r="B265" s="11"/>
      <c r="C265" s="11"/>
      <c r="D265" s="11"/>
      <c r="E265" s="11"/>
      <c r="F265" s="11"/>
      <c r="G265" s="11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20"/>
      <c r="B266" s="11"/>
      <c r="C266" s="11"/>
      <c r="D266" s="11"/>
      <c r="E266" s="11"/>
      <c r="F266" s="11"/>
      <c r="G266" s="11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20"/>
      <c r="B267" s="11"/>
      <c r="C267" s="11"/>
      <c r="D267" s="11"/>
      <c r="E267" s="11"/>
      <c r="F267" s="11"/>
      <c r="G267" s="11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20"/>
      <c r="B268" s="11"/>
      <c r="C268" s="11"/>
      <c r="D268" s="11"/>
      <c r="E268" s="11"/>
      <c r="F268" s="11"/>
      <c r="G268" s="11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20"/>
      <c r="B269" s="11"/>
      <c r="C269" s="11"/>
      <c r="D269" s="11"/>
      <c r="E269" s="11"/>
      <c r="F269" s="11"/>
      <c r="G269" s="11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20"/>
      <c r="B270" s="11"/>
      <c r="C270" s="11"/>
      <c r="D270" s="11"/>
      <c r="E270" s="11"/>
      <c r="F270" s="11"/>
      <c r="G270" s="11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20"/>
      <c r="B271" s="11"/>
      <c r="C271" s="11"/>
      <c r="D271" s="11"/>
      <c r="E271" s="11"/>
      <c r="F271" s="11"/>
      <c r="G271" s="11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20"/>
      <c r="B272" s="11"/>
      <c r="C272" s="11"/>
      <c r="D272" s="11"/>
      <c r="E272" s="11"/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20"/>
      <c r="B273" s="11"/>
      <c r="C273" s="11"/>
      <c r="D273" s="11"/>
      <c r="E273" s="11"/>
      <c r="F273" s="11"/>
      <c r="G273" s="11"/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20"/>
      <c r="B274" s="11"/>
      <c r="C274" s="11"/>
      <c r="D274" s="11"/>
      <c r="E274" s="11"/>
      <c r="F274" s="11"/>
      <c r="G274" s="11"/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20"/>
      <c r="B275" s="11"/>
      <c r="C275" s="11"/>
      <c r="D275" s="11"/>
      <c r="E275" s="11"/>
      <c r="F275" s="11"/>
      <c r="G275" s="11"/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20"/>
      <c r="B276" s="11"/>
      <c r="C276" s="11"/>
      <c r="D276" s="11"/>
      <c r="E276" s="11"/>
      <c r="F276" s="11"/>
      <c r="G276" s="11"/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20"/>
      <c r="B277" s="11"/>
      <c r="C277" s="11"/>
      <c r="D277" s="11"/>
      <c r="E277" s="11"/>
      <c r="F277" s="11"/>
      <c r="G277" s="11"/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20"/>
      <c r="B278" s="11"/>
      <c r="C278" s="11"/>
      <c r="D278" s="11"/>
      <c r="E278" s="11"/>
      <c r="F278" s="11"/>
      <c r="G278" s="11"/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20"/>
      <c r="B279" s="11"/>
      <c r="C279" s="11"/>
      <c r="D279" s="11"/>
      <c r="E279" s="11"/>
      <c r="F279" s="11"/>
      <c r="G279" s="11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20"/>
      <c r="B280" s="11"/>
      <c r="C280" s="11"/>
      <c r="D280" s="11"/>
      <c r="E280" s="11"/>
      <c r="F280" s="11"/>
      <c r="G280" s="11"/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20"/>
      <c r="B281" s="11"/>
      <c r="C281" s="11"/>
      <c r="D281" s="11"/>
      <c r="E281" s="11"/>
      <c r="F281" s="11"/>
      <c r="G281" s="11"/>
      <c r="H281" s="11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20"/>
      <c r="B282" s="11"/>
      <c r="C282" s="11"/>
      <c r="D282" s="11"/>
      <c r="E282" s="11"/>
      <c r="F282" s="11"/>
      <c r="G282" s="11"/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20"/>
      <c r="B283" s="11"/>
      <c r="C283" s="11"/>
      <c r="D283" s="11"/>
      <c r="E283" s="11"/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20"/>
      <c r="B284" s="11"/>
      <c r="C284" s="11"/>
      <c r="D284" s="11"/>
      <c r="E284" s="11"/>
      <c r="F284" s="11"/>
      <c r="G284" s="11"/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20"/>
      <c r="B285" s="11"/>
      <c r="C285" s="11"/>
      <c r="D285" s="11"/>
      <c r="E285" s="11"/>
      <c r="F285" s="11"/>
      <c r="G285" s="11"/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20"/>
      <c r="B286" s="11"/>
      <c r="C286" s="11"/>
      <c r="D286" s="11"/>
      <c r="E286" s="11"/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20"/>
      <c r="B287" s="11"/>
      <c r="C287" s="11"/>
      <c r="D287" s="11"/>
      <c r="E287" s="11"/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20"/>
      <c r="B288" s="11"/>
      <c r="C288" s="11"/>
      <c r="D288" s="11"/>
      <c r="E288" s="11"/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20"/>
      <c r="B289" s="11"/>
      <c r="C289" s="11"/>
      <c r="D289" s="11"/>
      <c r="E289" s="11"/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20"/>
      <c r="B290" s="11"/>
      <c r="C290" s="11"/>
      <c r="D290" s="11"/>
      <c r="E290" s="11"/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20"/>
      <c r="B291" s="11"/>
      <c r="C291" s="11"/>
      <c r="D291" s="11"/>
      <c r="E291" s="11"/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20"/>
      <c r="B292" s="11"/>
      <c r="C292" s="11"/>
      <c r="D292" s="11"/>
      <c r="E292" s="11"/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20"/>
      <c r="B293" s="11"/>
      <c r="C293" s="11"/>
      <c r="D293" s="11"/>
      <c r="E293" s="11"/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20"/>
      <c r="B294" s="11"/>
      <c r="C294" s="11"/>
      <c r="D294" s="11"/>
      <c r="E294" s="11"/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20"/>
      <c r="B295" s="11"/>
      <c r="C295" s="11"/>
      <c r="D295" s="11"/>
      <c r="E295" s="11"/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20"/>
      <c r="B296" s="11"/>
      <c r="C296" s="11"/>
      <c r="D296" s="11"/>
      <c r="E296" s="11"/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20"/>
      <c r="B297" s="11"/>
      <c r="C297" s="11"/>
      <c r="D297" s="11"/>
      <c r="E297" s="11"/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20"/>
      <c r="B298" s="11"/>
      <c r="C298" s="11"/>
      <c r="D298" s="11"/>
      <c r="E298" s="11"/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20"/>
      <c r="B299" s="11"/>
      <c r="C299" s="11"/>
      <c r="D299" s="11"/>
      <c r="E299" s="11"/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20"/>
      <c r="B300" s="11"/>
      <c r="C300" s="11"/>
      <c r="D300" s="11"/>
      <c r="E300" s="11"/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20"/>
      <c r="B301" s="11"/>
      <c r="C301" s="11"/>
      <c r="D301" s="11"/>
      <c r="E301" s="11"/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20"/>
      <c r="B302" s="11"/>
      <c r="C302" s="11"/>
      <c r="D302" s="11"/>
      <c r="E302" s="11"/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20"/>
      <c r="B303" s="11"/>
      <c r="C303" s="11"/>
      <c r="D303" s="11"/>
      <c r="E303" s="11"/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20"/>
      <c r="B304" s="11"/>
      <c r="C304" s="11"/>
      <c r="D304" s="11"/>
      <c r="E304" s="11"/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20"/>
      <c r="B305" s="11"/>
      <c r="C305" s="11"/>
      <c r="D305" s="11"/>
      <c r="E305" s="11"/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20"/>
      <c r="B306" s="11"/>
      <c r="C306" s="11"/>
      <c r="D306" s="11"/>
      <c r="E306" s="11"/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20"/>
      <c r="B307" s="11"/>
      <c r="C307" s="11"/>
      <c r="D307" s="11"/>
      <c r="E307" s="11"/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20"/>
      <c r="B308" s="11"/>
      <c r="C308" s="11"/>
      <c r="D308" s="11"/>
      <c r="E308" s="11"/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20"/>
      <c r="B309" s="11"/>
      <c r="C309" s="11"/>
      <c r="D309" s="11"/>
      <c r="E309" s="11"/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20"/>
      <c r="B310" s="11"/>
      <c r="C310" s="11"/>
      <c r="D310" s="11"/>
      <c r="E310" s="11"/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20"/>
      <c r="B311" s="11"/>
      <c r="C311" s="11"/>
      <c r="D311" s="11"/>
      <c r="E311" s="11"/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20"/>
      <c r="B312" s="11"/>
      <c r="C312" s="11"/>
      <c r="D312" s="11"/>
      <c r="E312" s="11"/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20"/>
      <c r="B313" s="11"/>
      <c r="C313" s="11"/>
      <c r="D313" s="11"/>
      <c r="E313" s="11"/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20"/>
      <c r="B314" s="11"/>
      <c r="C314" s="11"/>
      <c r="D314" s="11"/>
      <c r="E314" s="11"/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20"/>
      <c r="B315" s="11"/>
      <c r="C315" s="11"/>
      <c r="D315" s="11"/>
      <c r="E315" s="11"/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20"/>
      <c r="B316" s="11"/>
      <c r="C316" s="11"/>
      <c r="D316" s="11"/>
      <c r="E316" s="11"/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20"/>
      <c r="B317" s="11"/>
      <c r="C317" s="11"/>
      <c r="D317" s="11"/>
      <c r="E317" s="11"/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20"/>
      <c r="B318" s="11"/>
      <c r="C318" s="11"/>
      <c r="D318" s="11"/>
      <c r="E318" s="11"/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20"/>
      <c r="B319" s="11"/>
      <c r="C319" s="11"/>
      <c r="D319" s="11"/>
      <c r="E319" s="11"/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20"/>
      <c r="B320" s="11"/>
      <c r="C320" s="11"/>
      <c r="D320" s="11"/>
      <c r="E320" s="11"/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20"/>
      <c r="B321" s="11"/>
      <c r="C321" s="11"/>
      <c r="D321" s="11"/>
      <c r="E321" s="11"/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20"/>
      <c r="B322" s="11"/>
      <c r="C322" s="11"/>
      <c r="D322" s="11"/>
      <c r="E322" s="11"/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20"/>
      <c r="B323" s="11"/>
      <c r="C323" s="11"/>
      <c r="D323" s="11"/>
      <c r="E323" s="11"/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20"/>
      <c r="B324" s="11"/>
      <c r="C324" s="11"/>
      <c r="D324" s="11"/>
      <c r="E324" s="11"/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20"/>
      <c r="B325" s="11"/>
      <c r="C325" s="11"/>
      <c r="D325" s="11"/>
      <c r="E325" s="11"/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20"/>
      <c r="B326" s="11"/>
      <c r="C326" s="11"/>
      <c r="D326" s="11"/>
      <c r="E326" s="11"/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20"/>
      <c r="B327" s="11"/>
      <c r="C327" s="11"/>
      <c r="D327" s="11"/>
      <c r="E327" s="11"/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20"/>
      <c r="B328" s="11"/>
      <c r="C328" s="11"/>
      <c r="D328" s="11"/>
      <c r="E328" s="11"/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20"/>
      <c r="B329" s="11"/>
      <c r="C329" s="11"/>
      <c r="D329" s="11"/>
      <c r="E329" s="11"/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20"/>
      <c r="B330" s="11"/>
      <c r="C330" s="11"/>
      <c r="D330" s="11"/>
      <c r="E330" s="11"/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20"/>
      <c r="B331" s="11"/>
      <c r="C331" s="11"/>
      <c r="D331" s="11"/>
      <c r="E331" s="11"/>
      <c r="F331" s="11"/>
      <c r="G331" s="11"/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20"/>
      <c r="B332" s="11"/>
      <c r="C332" s="11"/>
      <c r="D332" s="11"/>
      <c r="E332" s="11"/>
      <c r="F332" s="11"/>
      <c r="G332" s="11"/>
      <c r="H332" s="11"/>
      <c r="I332" s="11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20"/>
      <c r="B333" s="11"/>
      <c r="C333" s="11"/>
      <c r="D333" s="11"/>
      <c r="E333" s="11"/>
      <c r="F333" s="11"/>
      <c r="G333" s="11"/>
      <c r="H333" s="11"/>
      <c r="I333" s="1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20"/>
      <c r="B334" s="11"/>
      <c r="C334" s="11"/>
      <c r="D334" s="11"/>
      <c r="E334" s="11"/>
      <c r="F334" s="11"/>
      <c r="G334" s="11"/>
      <c r="H334" s="11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20"/>
      <c r="B335" s="11"/>
      <c r="C335" s="11"/>
      <c r="D335" s="11"/>
      <c r="E335" s="11"/>
      <c r="F335" s="11"/>
      <c r="G335" s="11"/>
      <c r="H335" s="11"/>
      <c r="I335" s="1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20"/>
      <c r="B336" s="11"/>
      <c r="C336" s="11"/>
      <c r="D336" s="11"/>
      <c r="E336" s="11"/>
      <c r="F336" s="11"/>
      <c r="G336" s="11"/>
      <c r="H336" s="11"/>
      <c r="I336" s="1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20"/>
      <c r="B337" s="11"/>
      <c r="C337" s="11"/>
      <c r="D337" s="11"/>
      <c r="E337" s="11"/>
      <c r="F337" s="11"/>
      <c r="G337" s="11"/>
      <c r="H337" s="11"/>
      <c r="I337" s="1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20"/>
      <c r="B338" s="11"/>
      <c r="C338" s="11"/>
      <c r="D338" s="11"/>
      <c r="E338" s="11"/>
      <c r="F338" s="11"/>
      <c r="G338" s="11"/>
      <c r="H338" s="11"/>
      <c r="I338" s="11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20"/>
      <c r="B339" s="11"/>
      <c r="C339" s="11"/>
      <c r="D339" s="11"/>
      <c r="E339" s="11"/>
      <c r="F339" s="11"/>
      <c r="G339" s="11"/>
      <c r="H339" s="11"/>
      <c r="I339" s="1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20"/>
      <c r="B340" s="11"/>
      <c r="C340" s="11"/>
      <c r="D340" s="11"/>
      <c r="E340" s="11"/>
      <c r="F340" s="11"/>
      <c r="G340" s="11"/>
      <c r="H340" s="11"/>
      <c r="I340" s="11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20"/>
      <c r="B341" s="11"/>
      <c r="C341" s="11"/>
      <c r="D341" s="11"/>
      <c r="E341" s="11"/>
      <c r="F341" s="11"/>
      <c r="G341" s="11"/>
      <c r="H341" s="11"/>
      <c r="I341" s="11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20"/>
      <c r="B342" s="11"/>
      <c r="C342" s="11"/>
      <c r="D342" s="11"/>
      <c r="E342" s="11"/>
      <c r="F342" s="11"/>
      <c r="G342" s="11"/>
      <c r="H342" s="11"/>
      <c r="I342" s="11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20"/>
      <c r="B343" s="11"/>
      <c r="C343" s="11"/>
      <c r="D343" s="11"/>
      <c r="E343" s="11"/>
      <c r="F343" s="11"/>
      <c r="G343" s="11"/>
      <c r="H343" s="11"/>
      <c r="I343" s="11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20"/>
      <c r="B344" s="11"/>
      <c r="C344" s="11"/>
      <c r="D344" s="11"/>
      <c r="E344" s="11"/>
      <c r="F344" s="11"/>
      <c r="G344" s="11"/>
      <c r="H344" s="11"/>
      <c r="I344" s="11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20"/>
      <c r="B345" s="11"/>
      <c r="C345" s="11"/>
      <c r="D345" s="11"/>
      <c r="E345" s="11"/>
      <c r="F345" s="11"/>
      <c r="G345" s="11"/>
      <c r="H345" s="11"/>
      <c r="I345" s="11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20"/>
      <c r="B346" s="11"/>
      <c r="C346" s="11"/>
      <c r="D346" s="11"/>
      <c r="E346" s="11"/>
      <c r="F346" s="11"/>
      <c r="G346" s="11"/>
      <c r="H346" s="11"/>
      <c r="I346" s="1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20"/>
      <c r="B347" s="11"/>
      <c r="C347" s="11"/>
      <c r="D347" s="11"/>
      <c r="E347" s="11"/>
      <c r="F347" s="11"/>
      <c r="G347" s="11"/>
      <c r="H347" s="11"/>
      <c r="I347" s="11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20"/>
      <c r="B348" s="11"/>
      <c r="C348" s="11"/>
      <c r="D348" s="11"/>
      <c r="E348" s="11"/>
      <c r="F348" s="11"/>
      <c r="G348" s="11"/>
      <c r="H348" s="11"/>
      <c r="I348" s="11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20"/>
      <c r="B349" s="11"/>
      <c r="C349" s="11"/>
      <c r="D349" s="11"/>
      <c r="E349" s="11"/>
      <c r="F349" s="11"/>
      <c r="G349" s="11"/>
      <c r="H349" s="11"/>
      <c r="I349" s="11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20"/>
      <c r="B350" s="11"/>
      <c r="C350" s="11"/>
      <c r="D350" s="11"/>
      <c r="E350" s="11"/>
      <c r="F350" s="11"/>
      <c r="G350" s="11"/>
      <c r="H350" s="11"/>
      <c r="I350" s="11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20"/>
      <c r="B351" s="11"/>
      <c r="C351" s="11"/>
      <c r="D351" s="11"/>
      <c r="E351" s="11"/>
      <c r="F351" s="11"/>
      <c r="G351" s="11"/>
      <c r="H351" s="11"/>
      <c r="I351" s="11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20"/>
      <c r="B352" s="11"/>
      <c r="C352" s="11"/>
      <c r="D352" s="11"/>
      <c r="E352" s="11"/>
      <c r="F352" s="11"/>
      <c r="G352" s="11"/>
      <c r="H352" s="11"/>
      <c r="I352" s="1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20"/>
      <c r="B353" s="11"/>
      <c r="C353" s="11"/>
      <c r="D353" s="11"/>
      <c r="E353" s="11"/>
      <c r="F353" s="11"/>
      <c r="G353" s="11"/>
      <c r="H353" s="11"/>
      <c r="I353" s="1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20"/>
      <c r="B354" s="11"/>
      <c r="C354" s="11"/>
      <c r="D354" s="11"/>
      <c r="E354" s="11"/>
      <c r="F354" s="11"/>
      <c r="G354" s="11"/>
      <c r="H354" s="11"/>
      <c r="I354" s="11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20"/>
      <c r="B355" s="11"/>
      <c r="C355" s="11"/>
      <c r="D355" s="11"/>
      <c r="E355" s="11"/>
      <c r="F355" s="11"/>
      <c r="G355" s="11"/>
      <c r="H355" s="11"/>
      <c r="I355" s="1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20"/>
      <c r="B356" s="11"/>
      <c r="C356" s="11"/>
      <c r="D356" s="11"/>
      <c r="E356" s="11"/>
      <c r="F356" s="11"/>
      <c r="G356" s="11"/>
      <c r="H356" s="11"/>
      <c r="I356" s="1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20"/>
      <c r="B357" s="11"/>
      <c r="C357" s="11"/>
      <c r="D357" s="11"/>
      <c r="E357" s="11"/>
      <c r="F357" s="11"/>
      <c r="G357" s="11"/>
      <c r="H357" s="11"/>
      <c r="I357" s="1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20"/>
      <c r="B358" s="11"/>
      <c r="C358" s="11"/>
      <c r="D358" s="11"/>
      <c r="E358" s="11"/>
      <c r="F358" s="11"/>
      <c r="G358" s="11"/>
      <c r="H358" s="11"/>
      <c r="I358" s="1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20"/>
      <c r="B359" s="11"/>
      <c r="C359" s="11"/>
      <c r="D359" s="11"/>
      <c r="E359" s="11"/>
      <c r="F359" s="11"/>
      <c r="G359" s="11"/>
      <c r="H359" s="11"/>
      <c r="I359" s="11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20"/>
      <c r="B360" s="11"/>
      <c r="C360" s="11"/>
      <c r="D360" s="11"/>
      <c r="E360" s="11"/>
      <c r="F360" s="11"/>
      <c r="G360" s="11"/>
      <c r="H360" s="11"/>
      <c r="I360" s="1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20"/>
      <c r="B361" s="11"/>
      <c r="C361" s="11"/>
      <c r="D361" s="11"/>
      <c r="E361" s="11"/>
      <c r="F361" s="11"/>
      <c r="G361" s="11"/>
      <c r="H361" s="11"/>
      <c r="I361" s="1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20"/>
      <c r="B362" s="11"/>
      <c r="C362" s="11"/>
      <c r="D362" s="11"/>
      <c r="E362" s="11"/>
      <c r="F362" s="11"/>
      <c r="G362" s="11"/>
      <c r="H362" s="11"/>
      <c r="I362" s="1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20"/>
      <c r="B363" s="11"/>
      <c r="C363" s="11"/>
      <c r="D363" s="11"/>
      <c r="E363" s="11"/>
      <c r="F363" s="11"/>
      <c r="G363" s="11"/>
      <c r="H363" s="11"/>
      <c r="I363" s="1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20"/>
      <c r="B364" s="11"/>
      <c r="C364" s="11"/>
      <c r="D364" s="11"/>
      <c r="E364" s="11"/>
      <c r="F364" s="11"/>
      <c r="G364" s="11"/>
      <c r="H364" s="11"/>
      <c r="I364" s="1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20"/>
      <c r="B365" s="11"/>
      <c r="C365" s="11"/>
      <c r="D365" s="11"/>
      <c r="E365" s="11"/>
      <c r="F365" s="11"/>
      <c r="G365" s="11"/>
      <c r="H365" s="11"/>
      <c r="I365" s="1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20"/>
      <c r="B366" s="11"/>
      <c r="C366" s="11"/>
      <c r="D366" s="11"/>
      <c r="E366" s="11"/>
      <c r="F366" s="11"/>
      <c r="G366" s="11"/>
      <c r="H366" s="11"/>
      <c r="I366" s="1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20"/>
      <c r="B367" s="11"/>
      <c r="C367" s="11"/>
      <c r="D367" s="11"/>
      <c r="E367" s="11"/>
      <c r="F367" s="11"/>
      <c r="G367" s="11"/>
      <c r="H367" s="11"/>
      <c r="I367" s="1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20"/>
      <c r="B368" s="11"/>
      <c r="C368" s="11"/>
      <c r="D368" s="11"/>
      <c r="E368" s="11"/>
      <c r="F368" s="11"/>
      <c r="G368" s="11"/>
      <c r="H368" s="11"/>
      <c r="I368" s="11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20"/>
      <c r="B369" s="11"/>
      <c r="C369" s="11"/>
      <c r="D369" s="11"/>
      <c r="E369" s="11"/>
      <c r="F369" s="11"/>
      <c r="G369" s="11"/>
      <c r="H369" s="11"/>
      <c r="I369" s="11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20"/>
      <c r="B370" s="11"/>
      <c r="C370" s="11"/>
      <c r="D370" s="11"/>
      <c r="E370" s="11"/>
      <c r="F370" s="11"/>
      <c r="G370" s="11"/>
      <c r="H370" s="11"/>
      <c r="I370" s="11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20"/>
      <c r="B371" s="11"/>
      <c r="C371" s="11"/>
      <c r="D371" s="11"/>
      <c r="E371" s="11"/>
      <c r="F371" s="11"/>
      <c r="G371" s="11"/>
      <c r="H371" s="11"/>
      <c r="I371" s="11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20"/>
      <c r="B372" s="11"/>
      <c r="C372" s="11"/>
      <c r="D372" s="11"/>
      <c r="E372" s="11"/>
      <c r="F372" s="11"/>
      <c r="G372" s="11"/>
      <c r="H372" s="11"/>
      <c r="I372" s="11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20"/>
      <c r="B373" s="11"/>
      <c r="C373" s="11"/>
      <c r="D373" s="11"/>
      <c r="E373" s="11"/>
      <c r="F373" s="11"/>
      <c r="G373" s="11"/>
      <c r="H373" s="11"/>
      <c r="I373" s="11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20"/>
      <c r="B374" s="11"/>
      <c r="C374" s="11"/>
      <c r="D374" s="11"/>
      <c r="E374" s="11"/>
      <c r="F374" s="11"/>
      <c r="G374" s="11"/>
      <c r="H374" s="11"/>
      <c r="I374" s="11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20"/>
      <c r="B375" s="11"/>
      <c r="C375" s="11"/>
      <c r="D375" s="11"/>
      <c r="E375" s="11"/>
      <c r="F375" s="11"/>
      <c r="G375" s="11"/>
      <c r="H375" s="11"/>
      <c r="I375" s="11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20"/>
      <c r="B376" s="11"/>
      <c r="C376" s="11"/>
      <c r="D376" s="11"/>
      <c r="E376" s="11"/>
      <c r="F376" s="11"/>
      <c r="G376" s="11"/>
      <c r="H376" s="11"/>
      <c r="I376" s="11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20"/>
      <c r="B377" s="11"/>
      <c r="C377" s="11"/>
      <c r="D377" s="11"/>
      <c r="E377" s="11"/>
      <c r="F377" s="11"/>
      <c r="G377" s="11"/>
      <c r="H377" s="11"/>
      <c r="I377" s="1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20"/>
      <c r="B378" s="11"/>
      <c r="C378" s="11"/>
      <c r="D378" s="11"/>
      <c r="E378" s="11"/>
      <c r="F378" s="11"/>
      <c r="G378" s="11"/>
      <c r="H378" s="11"/>
      <c r="I378" s="11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20"/>
      <c r="B379" s="11"/>
      <c r="C379" s="11"/>
      <c r="D379" s="11"/>
      <c r="E379" s="11"/>
      <c r="F379" s="11"/>
      <c r="G379" s="11"/>
      <c r="H379" s="11"/>
      <c r="I379" s="11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20"/>
      <c r="B380" s="11"/>
      <c r="C380" s="11"/>
      <c r="D380" s="11"/>
      <c r="E380" s="11"/>
      <c r="F380" s="11"/>
      <c r="G380" s="11"/>
      <c r="H380" s="11"/>
      <c r="I380" s="11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20"/>
      <c r="B381" s="11"/>
      <c r="C381" s="11"/>
      <c r="D381" s="11"/>
      <c r="E381" s="11"/>
      <c r="F381" s="11"/>
      <c r="G381" s="11"/>
      <c r="H381" s="11"/>
      <c r="I381" s="11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20"/>
      <c r="B382" s="11"/>
      <c r="C382" s="11"/>
      <c r="D382" s="11"/>
      <c r="E382" s="11"/>
      <c r="F382" s="11"/>
      <c r="G382" s="11"/>
      <c r="H382" s="11"/>
      <c r="I382" s="11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20"/>
      <c r="B383" s="11"/>
      <c r="C383" s="11"/>
      <c r="D383" s="11"/>
      <c r="E383" s="11"/>
      <c r="F383" s="11"/>
      <c r="G383" s="11"/>
      <c r="H383" s="11"/>
      <c r="I383" s="11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20"/>
      <c r="B384" s="11"/>
      <c r="C384" s="11"/>
      <c r="D384" s="11"/>
      <c r="E384" s="11"/>
      <c r="F384" s="11"/>
      <c r="G384" s="11"/>
      <c r="H384" s="11"/>
      <c r="I384" s="11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20"/>
      <c r="B385" s="11"/>
      <c r="C385" s="11"/>
      <c r="D385" s="11"/>
      <c r="E385" s="11"/>
      <c r="F385" s="11"/>
      <c r="G385" s="11"/>
      <c r="H385" s="11"/>
      <c r="I385" s="11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20"/>
      <c r="B386" s="11"/>
      <c r="C386" s="11"/>
      <c r="D386" s="11"/>
      <c r="E386" s="11"/>
      <c r="F386" s="11"/>
      <c r="G386" s="11"/>
      <c r="H386" s="11"/>
      <c r="I386" s="11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20"/>
      <c r="B387" s="11"/>
      <c r="C387" s="11"/>
      <c r="D387" s="11"/>
      <c r="E387" s="11"/>
      <c r="F387" s="11"/>
      <c r="G387" s="11"/>
      <c r="H387" s="11"/>
      <c r="I387" s="11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20"/>
      <c r="B388" s="11"/>
      <c r="C388" s="11"/>
      <c r="D388" s="11"/>
      <c r="E388" s="11"/>
      <c r="F388" s="11"/>
      <c r="G388" s="11"/>
      <c r="H388" s="11"/>
      <c r="I388" s="11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20"/>
      <c r="B389" s="11"/>
      <c r="C389" s="11"/>
      <c r="D389" s="11"/>
      <c r="E389" s="11"/>
      <c r="F389" s="11"/>
      <c r="G389" s="11"/>
      <c r="H389" s="11"/>
      <c r="I389" s="11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20"/>
      <c r="B390" s="11"/>
      <c r="C390" s="11"/>
      <c r="D390" s="11"/>
      <c r="E390" s="11"/>
      <c r="F390" s="11"/>
      <c r="G390" s="11"/>
      <c r="H390" s="11"/>
      <c r="I390" s="11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20"/>
      <c r="B391" s="11"/>
      <c r="C391" s="11"/>
      <c r="D391" s="11"/>
      <c r="E391" s="11"/>
      <c r="F391" s="11"/>
      <c r="G391" s="11"/>
      <c r="H391" s="11"/>
      <c r="I391" s="11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20"/>
      <c r="B392" s="11"/>
      <c r="C392" s="11"/>
      <c r="D392" s="11"/>
      <c r="E392" s="11"/>
      <c r="F392" s="11"/>
      <c r="G392" s="11"/>
      <c r="H392" s="11"/>
      <c r="I392" s="11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20"/>
      <c r="B393" s="11"/>
      <c r="C393" s="11"/>
      <c r="D393" s="11"/>
      <c r="E393" s="11"/>
      <c r="F393" s="11"/>
      <c r="G393" s="11"/>
      <c r="H393" s="11"/>
      <c r="I393" s="11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20"/>
      <c r="B394" s="11"/>
      <c r="C394" s="11"/>
      <c r="D394" s="11"/>
      <c r="E394" s="11"/>
      <c r="F394" s="11"/>
      <c r="G394" s="11"/>
      <c r="H394" s="11"/>
      <c r="I394" s="11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20"/>
      <c r="B395" s="11"/>
      <c r="C395" s="11"/>
      <c r="D395" s="11"/>
      <c r="E395" s="11"/>
      <c r="F395" s="11"/>
      <c r="G395" s="11"/>
      <c r="H395" s="11"/>
      <c r="I395" s="11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20"/>
      <c r="B396" s="11"/>
      <c r="C396" s="11"/>
      <c r="D396" s="11"/>
      <c r="E396" s="11"/>
      <c r="F396" s="11"/>
      <c r="G396" s="11"/>
      <c r="H396" s="11"/>
      <c r="I396" s="1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20"/>
      <c r="B397" s="11"/>
      <c r="C397" s="11"/>
      <c r="D397" s="11"/>
      <c r="E397" s="11"/>
      <c r="F397" s="11"/>
      <c r="G397" s="11"/>
      <c r="H397" s="11"/>
      <c r="I397" s="11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20"/>
      <c r="B398" s="11"/>
      <c r="C398" s="11"/>
      <c r="D398" s="11"/>
      <c r="E398" s="11"/>
      <c r="F398" s="11"/>
      <c r="G398" s="11"/>
      <c r="H398" s="11"/>
      <c r="I398" s="1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20"/>
      <c r="B399" s="11"/>
      <c r="C399" s="11"/>
      <c r="D399" s="11"/>
      <c r="E399" s="11"/>
      <c r="F399" s="11"/>
      <c r="G399" s="11"/>
      <c r="H399" s="11"/>
      <c r="I399" s="1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20"/>
      <c r="B400" s="11"/>
      <c r="C400" s="11"/>
      <c r="D400" s="11"/>
      <c r="E400" s="11"/>
      <c r="F400" s="11"/>
      <c r="G400" s="11"/>
      <c r="H400" s="11"/>
      <c r="I400" s="1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20"/>
      <c r="B401" s="11"/>
      <c r="C401" s="11"/>
      <c r="D401" s="11"/>
      <c r="E401" s="11"/>
      <c r="F401" s="11"/>
      <c r="G401" s="11"/>
      <c r="H401" s="11"/>
      <c r="I401" s="11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20"/>
      <c r="B402" s="11"/>
      <c r="C402" s="11"/>
      <c r="D402" s="11"/>
      <c r="E402" s="11"/>
      <c r="F402" s="11"/>
      <c r="G402" s="11"/>
      <c r="H402" s="11"/>
      <c r="I402" s="11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20"/>
      <c r="B403" s="11"/>
      <c r="C403" s="11"/>
      <c r="D403" s="11"/>
      <c r="E403" s="11"/>
      <c r="F403" s="11"/>
      <c r="G403" s="11"/>
      <c r="H403" s="11"/>
      <c r="I403" s="1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20"/>
      <c r="B404" s="11"/>
      <c r="C404" s="11"/>
      <c r="D404" s="11"/>
      <c r="E404" s="11"/>
      <c r="F404" s="11"/>
      <c r="G404" s="11"/>
      <c r="H404" s="11"/>
      <c r="I404" s="1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20"/>
      <c r="B405" s="11"/>
      <c r="C405" s="11"/>
      <c r="D405" s="11"/>
      <c r="E405" s="11"/>
      <c r="F405" s="11"/>
      <c r="G405" s="11"/>
      <c r="H405" s="11"/>
      <c r="I405" s="11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20"/>
      <c r="B406" s="11"/>
      <c r="C406" s="11"/>
      <c r="D406" s="11"/>
      <c r="E406" s="11"/>
      <c r="F406" s="11"/>
      <c r="G406" s="11"/>
      <c r="H406" s="11"/>
      <c r="I406" s="1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20"/>
      <c r="B407" s="11"/>
      <c r="C407" s="11"/>
      <c r="D407" s="11"/>
      <c r="E407" s="11"/>
      <c r="F407" s="11"/>
      <c r="G407" s="11"/>
      <c r="H407" s="11"/>
      <c r="I407" s="1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20"/>
      <c r="B408" s="11"/>
      <c r="C408" s="11"/>
      <c r="D408" s="11"/>
      <c r="E408" s="11"/>
      <c r="F408" s="11"/>
      <c r="G408" s="11"/>
      <c r="H408" s="11"/>
      <c r="I408" s="11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20"/>
      <c r="B409" s="11"/>
      <c r="C409" s="11"/>
      <c r="D409" s="11"/>
      <c r="E409" s="11"/>
      <c r="F409" s="11"/>
      <c r="G409" s="11"/>
      <c r="H409" s="11"/>
      <c r="I409" s="11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20"/>
      <c r="B410" s="11"/>
      <c r="C410" s="11"/>
      <c r="D410" s="11"/>
      <c r="E410" s="11"/>
      <c r="F410" s="11"/>
      <c r="G410" s="11"/>
      <c r="H410" s="11"/>
      <c r="I410" s="11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20"/>
      <c r="B411" s="11"/>
      <c r="C411" s="11"/>
      <c r="D411" s="11"/>
      <c r="E411" s="11"/>
      <c r="F411" s="11"/>
      <c r="G411" s="11"/>
      <c r="H411" s="11"/>
      <c r="I411" s="1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20"/>
      <c r="B412" s="11"/>
      <c r="C412" s="11"/>
      <c r="D412" s="11"/>
      <c r="E412" s="11"/>
      <c r="F412" s="11"/>
      <c r="G412" s="11"/>
      <c r="H412" s="11"/>
      <c r="I412" s="1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20"/>
      <c r="B413" s="11"/>
      <c r="C413" s="11"/>
      <c r="D413" s="11"/>
      <c r="E413" s="11"/>
      <c r="F413" s="11"/>
      <c r="G413" s="11"/>
      <c r="H413" s="11"/>
      <c r="I413" s="1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20"/>
      <c r="B414" s="11"/>
      <c r="C414" s="11"/>
      <c r="D414" s="11"/>
      <c r="E414" s="11"/>
      <c r="F414" s="11"/>
      <c r="G414" s="11"/>
      <c r="H414" s="11"/>
      <c r="I414" s="1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20"/>
      <c r="B415" s="11"/>
      <c r="C415" s="11"/>
      <c r="D415" s="11"/>
      <c r="E415" s="11"/>
      <c r="F415" s="11"/>
      <c r="G415" s="11"/>
      <c r="H415" s="11"/>
      <c r="I415" s="11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20"/>
      <c r="B416" s="11"/>
      <c r="C416" s="11"/>
      <c r="D416" s="11"/>
      <c r="E416" s="11"/>
      <c r="F416" s="11"/>
      <c r="G416" s="11"/>
      <c r="H416" s="11"/>
      <c r="I416" s="1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20"/>
      <c r="B417" s="11"/>
      <c r="C417" s="11"/>
      <c r="D417" s="11"/>
      <c r="E417" s="11"/>
      <c r="F417" s="11"/>
      <c r="G417" s="11"/>
      <c r="H417" s="11"/>
      <c r="I417" s="11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20"/>
      <c r="B418" s="11"/>
      <c r="C418" s="11"/>
      <c r="D418" s="11"/>
      <c r="E418" s="11"/>
      <c r="F418" s="11"/>
      <c r="G418" s="11"/>
      <c r="H418" s="11"/>
      <c r="I418" s="1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20"/>
      <c r="B419" s="11"/>
      <c r="C419" s="11"/>
      <c r="D419" s="11"/>
      <c r="E419" s="11"/>
      <c r="F419" s="11"/>
      <c r="G419" s="11"/>
      <c r="H419" s="11"/>
      <c r="I419" s="11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20"/>
      <c r="B420" s="11"/>
      <c r="C420" s="11"/>
      <c r="D420" s="11"/>
      <c r="E420" s="11"/>
      <c r="F420" s="11"/>
      <c r="G420" s="11"/>
      <c r="H420" s="11"/>
      <c r="I420" s="1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20"/>
      <c r="B421" s="11"/>
      <c r="C421" s="11"/>
      <c r="D421" s="11"/>
      <c r="E421" s="11"/>
      <c r="F421" s="11"/>
      <c r="G421" s="11"/>
      <c r="H421" s="11"/>
      <c r="I421" s="1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20"/>
      <c r="B422" s="11"/>
      <c r="C422" s="11"/>
      <c r="D422" s="11"/>
      <c r="E422" s="11"/>
      <c r="F422" s="11"/>
      <c r="G422" s="11"/>
      <c r="H422" s="11"/>
      <c r="I422" s="11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20"/>
      <c r="B423" s="11"/>
      <c r="C423" s="11"/>
      <c r="D423" s="11"/>
      <c r="E423" s="11"/>
      <c r="F423" s="11"/>
      <c r="G423" s="11"/>
      <c r="H423" s="11"/>
      <c r="I423" s="11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20"/>
      <c r="B424" s="11"/>
      <c r="C424" s="11"/>
      <c r="D424" s="11"/>
      <c r="E424" s="11"/>
      <c r="F424" s="11"/>
      <c r="G424" s="11"/>
      <c r="H424" s="11"/>
      <c r="I424" s="1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20"/>
      <c r="B425" s="11"/>
      <c r="C425" s="11"/>
      <c r="D425" s="11"/>
      <c r="E425" s="11"/>
      <c r="F425" s="11"/>
      <c r="G425" s="11"/>
      <c r="H425" s="11"/>
      <c r="I425" s="1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20"/>
      <c r="B426" s="11"/>
      <c r="C426" s="11"/>
      <c r="D426" s="11"/>
      <c r="E426" s="11"/>
      <c r="F426" s="11"/>
      <c r="G426" s="11"/>
      <c r="H426" s="11"/>
      <c r="I426" s="1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20"/>
      <c r="B427" s="11"/>
      <c r="C427" s="11"/>
      <c r="D427" s="11"/>
      <c r="E427" s="11"/>
      <c r="F427" s="11"/>
      <c r="G427" s="11"/>
      <c r="H427" s="11"/>
      <c r="I427" s="1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20"/>
      <c r="B428" s="11"/>
      <c r="C428" s="11"/>
      <c r="D428" s="11"/>
      <c r="E428" s="11"/>
      <c r="F428" s="11"/>
      <c r="G428" s="11"/>
      <c r="H428" s="11"/>
      <c r="I428" s="1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20"/>
      <c r="B429" s="11"/>
      <c r="C429" s="11"/>
      <c r="D429" s="11"/>
      <c r="E429" s="11"/>
      <c r="F429" s="11"/>
      <c r="G429" s="11"/>
      <c r="H429" s="11"/>
      <c r="I429" s="1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20"/>
      <c r="B430" s="11"/>
      <c r="C430" s="11"/>
      <c r="D430" s="11"/>
      <c r="E430" s="11"/>
      <c r="F430" s="11"/>
      <c r="G430" s="11"/>
      <c r="H430" s="11"/>
      <c r="I430" s="1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20"/>
      <c r="B431" s="11"/>
      <c r="C431" s="11"/>
      <c r="D431" s="11"/>
      <c r="E431" s="11"/>
      <c r="F431" s="11"/>
      <c r="G431" s="11"/>
      <c r="H431" s="11"/>
      <c r="I431" s="1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20"/>
      <c r="B432" s="11"/>
      <c r="C432" s="11"/>
      <c r="D432" s="11"/>
      <c r="E432" s="11"/>
      <c r="F432" s="11"/>
      <c r="G432" s="11"/>
      <c r="H432" s="11"/>
      <c r="I432" s="1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20"/>
      <c r="B433" s="11"/>
      <c r="C433" s="11"/>
      <c r="D433" s="11"/>
      <c r="E433" s="11"/>
      <c r="F433" s="11"/>
      <c r="G433" s="11"/>
      <c r="H433" s="11"/>
      <c r="I433" s="11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20"/>
      <c r="B434" s="11"/>
      <c r="C434" s="11"/>
      <c r="D434" s="11"/>
      <c r="E434" s="11"/>
      <c r="F434" s="11"/>
      <c r="G434" s="11"/>
      <c r="H434" s="11"/>
      <c r="I434" s="1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20"/>
      <c r="B435" s="11"/>
      <c r="C435" s="11"/>
      <c r="D435" s="11"/>
      <c r="E435" s="11"/>
      <c r="F435" s="11"/>
      <c r="G435" s="11"/>
      <c r="H435" s="11"/>
      <c r="I435" s="1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20"/>
      <c r="B436" s="11"/>
      <c r="C436" s="11"/>
      <c r="D436" s="11"/>
      <c r="E436" s="11"/>
      <c r="F436" s="11"/>
      <c r="G436" s="11"/>
      <c r="H436" s="11"/>
      <c r="I436" s="11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20"/>
      <c r="B437" s="11"/>
      <c r="C437" s="11"/>
      <c r="D437" s="11"/>
      <c r="E437" s="11"/>
      <c r="F437" s="11"/>
      <c r="G437" s="11"/>
      <c r="H437" s="11"/>
      <c r="I437" s="11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20"/>
      <c r="B438" s="11"/>
      <c r="C438" s="11"/>
      <c r="D438" s="11"/>
      <c r="E438" s="11"/>
      <c r="F438" s="11"/>
      <c r="G438" s="11"/>
      <c r="H438" s="11"/>
      <c r="I438" s="1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20"/>
      <c r="B439" s="11"/>
      <c r="C439" s="11"/>
      <c r="D439" s="11"/>
      <c r="E439" s="11"/>
      <c r="F439" s="11"/>
      <c r="G439" s="11"/>
      <c r="H439" s="11"/>
      <c r="I439" s="1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20"/>
      <c r="B440" s="11"/>
      <c r="C440" s="11"/>
      <c r="D440" s="11"/>
      <c r="E440" s="11"/>
      <c r="F440" s="11"/>
      <c r="G440" s="11"/>
      <c r="H440" s="11"/>
      <c r="I440" s="1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20"/>
      <c r="B441" s="11"/>
      <c r="C441" s="11"/>
      <c r="D441" s="11"/>
      <c r="E441" s="11"/>
      <c r="F441" s="11"/>
      <c r="G441" s="11"/>
      <c r="H441" s="11"/>
      <c r="I441" s="1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20"/>
      <c r="B442" s="11"/>
      <c r="C442" s="11"/>
      <c r="D442" s="11"/>
      <c r="E442" s="11"/>
      <c r="F442" s="11"/>
      <c r="G442" s="11"/>
      <c r="H442" s="11"/>
      <c r="I442" s="11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20"/>
      <c r="B443" s="11"/>
      <c r="C443" s="11"/>
      <c r="D443" s="11"/>
      <c r="E443" s="11"/>
      <c r="F443" s="11"/>
      <c r="G443" s="11"/>
      <c r="H443" s="11"/>
      <c r="I443" s="11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20"/>
      <c r="B444" s="11"/>
      <c r="C444" s="11"/>
      <c r="D444" s="11"/>
      <c r="E444" s="11"/>
      <c r="F444" s="11"/>
      <c r="G444" s="11"/>
      <c r="H444" s="11"/>
      <c r="I444" s="1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20"/>
      <c r="B445" s="11"/>
      <c r="C445" s="11"/>
      <c r="D445" s="11"/>
      <c r="E445" s="11"/>
      <c r="F445" s="11"/>
      <c r="G445" s="11"/>
      <c r="H445" s="11"/>
      <c r="I445" s="11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20"/>
      <c r="B446" s="11"/>
      <c r="C446" s="11"/>
      <c r="D446" s="11"/>
      <c r="E446" s="11"/>
      <c r="F446" s="11"/>
      <c r="G446" s="11"/>
      <c r="H446" s="11"/>
      <c r="I446" s="1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20"/>
      <c r="B447" s="11"/>
      <c r="C447" s="11"/>
      <c r="D447" s="11"/>
      <c r="E447" s="11"/>
      <c r="F447" s="11"/>
      <c r="G447" s="11"/>
      <c r="H447" s="11"/>
      <c r="I447" s="1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20"/>
      <c r="B448" s="11"/>
      <c r="C448" s="11"/>
      <c r="D448" s="11"/>
      <c r="E448" s="11"/>
      <c r="F448" s="11"/>
      <c r="G448" s="11"/>
      <c r="H448" s="11"/>
      <c r="I448" s="11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20"/>
      <c r="B449" s="11"/>
      <c r="C449" s="11"/>
      <c r="D449" s="11"/>
      <c r="E449" s="11"/>
      <c r="F449" s="11"/>
      <c r="G449" s="11"/>
      <c r="H449" s="11"/>
      <c r="I449" s="11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20"/>
      <c r="B450" s="11"/>
      <c r="C450" s="11"/>
      <c r="D450" s="11"/>
      <c r="E450" s="11"/>
      <c r="F450" s="11"/>
      <c r="G450" s="11"/>
      <c r="H450" s="11"/>
      <c r="I450" s="1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20"/>
      <c r="B451" s="11"/>
      <c r="C451" s="11"/>
      <c r="D451" s="11"/>
      <c r="E451" s="11"/>
      <c r="F451" s="11"/>
      <c r="G451" s="11"/>
      <c r="H451" s="11"/>
      <c r="I451" s="11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20"/>
      <c r="B452" s="11"/>
      <c r="C452" s="11"/>
      <c r="D452" s="11"/>
      <c r="E452" s="11"/>
      <c r="F452" s="11"/>
      <c r="G452" s="11"/>
      <c r="H452" s="11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20"/>
      <c r="B453" s="11"/>
      <c r="C453" s="11"/>
      <c r="D453" s="11"/>
      <c r="E453" s="11"/>
      <c r="F453" s="11"/>
      <c r="G453" s="11"/>
      <c r="H453" s="11"/>
      <c r="I453" s="1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20"/>
      <c r="B454" s="11"/>
      <c r="C454" s="11"/>
      <c r="D454" s="11"/>
      <c r="E454" s="11"/>
      <c r="F454" s="11"/>
      <c r="G454" s="11"/>
      <c r="H454" s="11"/>
      <c r="I454" s="1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20"/>
      <c r="B455" s="11"/>
      <c r="C455" s="11"/>
      <c r="D455" s="11"/>
      <c r="E455" s="11"/>
      <c r="F455" s="11"/>
      <c r="G455" s="11"/>
      <c r="H455" s="11"/>
      <c r="I455" s="1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20"/>
      <c r="B456" s="11"/>
      <c r="C456" s="11"/>
      <c r="D456" s="11"/>
      <c r="E456" s="11"/>
      <c r="F456" s="11"/>
      <c r="G456" s="11"/>
      <c r="H456" s="11"/>
      <c r="I456" s="11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20"/>
      <c r="B457" s="11"/>
      <c r="C457" s="11"/>
      <c r="D457" s="11"/>
      <c r="E457" s="11"/>
      <c r="F457" s="11"/>
      <c r="G457" s="11"/>
      <c r="H457" s="11"/>
      <c r="I457" s="11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20"/>
      <c r="B458" s="11"/>
      <c r="C458" s="11"/>
      <c r="D458" s="11"/>
      <c r="E458" s="11"/>
      <c r="F458" s="11"/>
      <c r="G458" s="11"/>
      <c r="H458" s="11"/>
      <c r="I458" s="1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20"/>
      <c r="B459" s="11"/>
      <c r="C459" s="11"/>
      <c r="D459" s="11"/>
      <c r="E459" s="11"/>
      <c r="F459" s="11"/>
      <c r="G459" s="11"/>
      <c r="H459" s="11"/>
      <c r="I459" s="11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20"/>
      <c r="B460" s="11"/>
      <c r="C460" s="11"/>
      <c r="D460" s="11"/>
      <c r="E460" s="11"/>
      <c r="F460" s="11"/>
      <c r="G460" s="11"/>
      <c r="H460" s="11"/>
      <c r="I460" s="1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20"/>
      <c r="B461" s="11"/>
      <c r="C461" s="11"/>
      <c r="D461" s="11"/>
      <c r="E461" s="11"/>
      <c r="F461" s="11"/>
      <c r="G461" s="11"/>
      <c r="H461" s="11"/>
      <c r="I461" s="1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20"/>
      <c r="B462" s="11"/>
      <c r="C462" s="11"/>
      <c r="D462" s="11"/>
      <c r="E462" s="11"/>
      <c r="F462" s="11"/>
      <c r="G462" s="11"/>
      <c r="H462" s="11"/>
      <c r="I462" s="11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20"/>
      <c r="B463" s="11"/>
      <c r="C463" s="11"/>
      <c r="D463" s="11"/>
      <c r="E463" s="11"/>
      <c r="F463" s="11"/>
      <c r="G463" s="11"/>
      <c r="H463" s="11"/>
      <c r="I463" s="11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20"/>
      <c r="B464" s="11"/>
      <c r="C464" s="11"/>
      <c r="D464" s="11"/>
      <c r="E464" s="11"/>
      <c r="F464" s="11"/>
      <c r="G464" s="11"/>
      <c r="H464" s="11"/>
      <c r="I464" s="11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20"/>
      <c r="B465" s="11"/>
      <c r="C465" s="11"/>
      <c r="D465" s="11"/>
      <c r="E465" s="11"/>
      <c r="F465" s="11"/>
      <c r="G465" s="11"/>
      <c r="H465" s="11"/>
      <c r="I465" s="1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20"/>
      <c r="B466" s="11"/>
      <c r="C466" s="11"/>
      <c r="D466" s="11"/>
      <c r="E466" s="11"/>
      <c r="F466" s="11"/>
      <c r="G466" s="11"/>
      <c r="H466" s="11"/>
      <c r="I466" s="1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20"/>
      <c r="B467" s="11"/>
      <c r="C467" s="11"/>
      <c r="D467" s="11"/>
      <c r="E467" s="11"/>
      <c r="F467" s="11"/>
      <c r="G467" s="11"/>
      <c r="H467" s="11"/>
      <c r="I467" s="1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20"/>
      <c r="B468" s="11"/>
      <c r="C468" s="11"/>
      <c r="D468" s="11"/>
      <c r="E468" s="11"/>
      <c r="F468" s="11"/>
      <c r="G468" s="11"/>
      <c r="H468" s="11"/>
      <c r="I468" s="1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20"/>
      <c r="B469" s="11"/>
      <c r="C469" s="11"/>
      <c r="D469" s="11"/>
      <c r="E469" s="11"/>
      <c r="F469" s="11"/>
      <c r="G469" s="11"/>
      <c r="H469" s="11"/>
      <c r="I469" s="1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20"/>
      <c r="B470" s="11"/>
      <c r="C470" s="11"/>
      <c r="D470" s="11"/>
      <c r="E470" s="11"/>
      <c r="F470" s="11"/>
      <c r="G470" s="11"/>
      <c r="H470" s="11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20"/>
      <c r="B471" s="11"/>
      <c r="C471" s="11"/>
      <c r="D471" s="11"/>
      <c r="E471" s="11"/>
      <c r="F471" s="11"/>
      <c r="G471" s="11"/>
      <c r="H471" s="11"/>
      <c r="I471" s="1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20"/>
      <c r="B472" s="11"/>
      <c r="C472" s="11"/>
      <c r="D472" s="11"/>
      <c r="E472" s="11"/>
      <c r="F472" s="11"/>
      <c r="G472" s="11"/>
      <c r="H472" s="11"/>
      <c r="I472" s="1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20"/>
      <c r="B473" s="11"/>
      <c r="C473" s="11"/>
      <c r="D473" s="11"/>
      <c r="E473" s="11"/>
      <c r="F473" s="11"/>
      <c r="G473" s="11"/>
      <c r="H473" s="11"/>
      <c r="I473" s="1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20"/>
      <c r="B474" s="11"/>
      <c r="C474" s="11"/>
      <c r="D474" s="11"/>
      <c r="E474" s="11"/>
      <c r="F474" s="11"/>
      <c r="G474" s="11"/>
      <c r="H474" s="11"/>
      <c r="I474" s="1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20"/>
      <c r="B475" s="11"/>
      <c r="C475" s="11"/>
      <c r="D475" s="11"/>
      <c r="E475" s="11"/>
      <c r="F475" s="11"/>
      <c r="G475" s="11"/>
      <c r="H475" s="11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20"/>
      <c r="B476" s="11"/>
      <c r="C476" s="11"/>
      <c r="D476" s="11"/>
      <c r="E476" s="11"/>
      <c r="F476" s="11"/>
      <c r="G476" s="11"/>
      <c r="H476" s="11"/>
      <c r="I476" s="1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20"/>
      <c r="B477" s="11"/>
      <c r="C477" s="11"/>
      <c r="D477" s="11"/>
      <c r="E477" s="11"/>
      <c r="F477" s="11"/>
      <c r="G477" s="11"/>
      <c r="H477" s="11"/>
      <c r="I477" s="11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20"/>
      <c r="B478" s="11"/>
      <c r="C478" s="11"/>
      <c r="D478" s="11"/>
      <c r="E478" s="11"/>
      <c r="F478" s="11"/>
      <c r="G478" s="11"/>
      <c r="H478" s="11"/>
      <c r="I478" s="11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20"/>
      <c r="B479" s="11"/>
      <c r="C479" s="11"/>
      <c r="D479" s="11"/>
      <c r="E479" s="11"/>
      <c r="F479" s="11"/>
      <c r="G479" s="11"/>
      <c r="H479" s="11"/>
      <c r="I479" s="1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20"/>
      <c r="B480" s="11"/>
      <c r="C480" s="11"/>
      <c r="D480" s="11"/>
      <c r="E480" s="11"/>
      <c r="F480" s="11"/>
      <c r="G480" s="11"/>
      <c r="H480" s="11"/>
      <c r="I480" s="1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20"/>
      <c r="B481" s="11"/>
      <c r="C481" s="11"/>
      <c r="D481" s="11"/>
      <c r="E481" s="11"/>
      <c r="F481" s="11"/>
      <c r="G481" s="11"/>
      <c r="H481" s="11"/>
      <c r="I481" s="1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20"/>
      <c r="B482" s="11"/>
      <c r="C482" s="11"/>
      <c r="D482" s="11"/>
      <c r="E482" s="11"/>
      <c r="F482" s="11"/>
      <c r="G482" s="11"/>
      <c r="H482" s="11"/>
      <c r="I482" s="1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20"/>
      <c r="B483" s="11"/>
      <c r="C483" s="11"/>
      <c r="D483" s="11"/>
      <c r="E483" s="11"/>
      <c r="F483" s="11"/>
      <c r="G483" s="11"/>
      <c r="H483" s="11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20"/>
      <c r="B484" s="11"/>
      <c r="C484" s="11"/>
      <c r="D484" s="11"/>
      <c r="E484" s="11"/>
      <c r="F484" s="11"/>
      <c r="G484" s="11"/>
      <c r="H484" s="11"/>
      <c r="I484" s="1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20"/>
      <c r="B485" s="11"/>
      <c r="C485" s="11"/>
      <c r="D485" s="11"/>
      <c r="E485" s="11"/>
      <c r="F485" s="11"/>
      <c r="G485" s="11"/>
      <c r="H485" s="11"/>
      <c r="I485" s="11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20"/>
      <c r="B486" s="11"/>
      <c r="C486" s="11"/>
      <c r="D486" s="11"/>
      <c r="E486" s="11"/>
      <c r="F486" s="11"/>
      <c r="G486" s="11"/>
      <c r="H486" s="11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20"/>
      <c r="B487" s="11"/>
      <c r="C487" s="11"/>
      <c r="D487" s="11"/>
      <c r="E487" s="11"/>
      <c r="F487" s="11"/>
      <c r="G487" s="11"/>
      <c r="H487" s="11"/>
      <c r="I487" s="1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20"/>
      <c r="B488" s="11"/>
      <c r="C488" s="11"/>
      <c r="D488" s="11"/>
      <c r="E488" s="11"/>
      <c r="F488" s="11"/>
      <c r="G488" s="11"/>
      <c r="H488" s="11"/>
      <c r="I488" s="1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20"/>
      <c r="B489" s="11"/>
      <c r="C489" s="11"/>
      <c r="D489" s="11"/>
      <c r="E489" s="11"/>
      <c r="F489" s="11"/>
      <c r="G489" s="11"/>
      <c r="H489" s="11"/>
      <c r="I489" s="1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20"/>
      <c r="B490" s="11"/>
      <c r="C490" s="11"/>
      <c r="D490" s="11"/>
      <c r="E490" s="11"/>
      <c r="F490" s="11"/>
      <c r="G490" s="11"/>
      <c r="H490" s="11"/>
      <c r="I490" s="1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20"/>
      <c r="B491" s="11"/>
      <c r="C491" s="11"/>
      <c r="D491" s="11"/>
      <c r="E491" s="11"/>
      <c r="F491" s="11"/>
      <c r="G491" s="11"/>
      <c r="H491" s="11"/>
      <c r="I491" s="1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20"/>
      <c r="B492" s="11"/>
      <c r="C492" s="11"/>
      <c r="D492" s="11"/>
      <c r="E492" s="11"/>
      <c r="F492" s="11"/>
      <c r="G492" s="11"/>
      <c r="H492" s="11"/>
      <c r="I492" s="1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20"/>
      <c r="B493" s="11"/>
      <c r="C493" s="11"/>
      <c r="D493" s="11"/>
      <c r="E493" s="11"/>
      <c r="F493" s="11"/>
      <c r="G493" s="11"/>
      <c r="H493" s="11"/>
      <c r="I493" s="1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20"/>
      <c r="B494" s="11"/>
      <c r="C494" s="11"/>
      <c r="D494" s="11"/>
      <c r="E494" s="11"/>
      <c r="F494" s="11"/>
      <c r="G494" s="11"/>
      <c r="H494" s="11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20"/>
      <c r="B495" s="11"/>
      <c r="C495" s="11"/>
      <c r="D495" s="11"/>
      <c r="E495" s="11"/>
      <c r="F495" s="11"/>
      <c r="G495" s="11"/>
      <c r="H495" s="11"/>
      <c r="I495" s="1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20"/>
      <c r="B496" s="11"/>
      <c r="C496" s="11"/>
      <c r="D496" s="11"/>
      <c r="E496" s="11"/>
      <c r="F496" s="11"/>
      <c r="G496" s="11"/>
      <c r="H496" s="11"/>
      <c r="I496" s="11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20"/>
      <c r="B497" s="11"/>
      <c r="C497" s="11"/>
      <c r="D497" s="11"/>
      <c r="E497" s="11"/>
      <c r="F497" s="11"/>
      <c r="G497" s="11"/>
      <c r="H497" s="11"/>
      <c r="I497" s="11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20"/>
      <c r="B498" s="11"/>
      <c r="C498" s="11"/>
      <c r="D498" s="11"/>
      <c r="E498" s="11"/>
      <c r="F498" s="11"/>
      <c r="G498" s="11"/>
      <c r="H498" s="11"/>
      <c r="I498" s="1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20"/>
      <c r="B499" s="11"/>
      <c r="C499" s="11"/>
      <c r="D499" s="11"/>
      <c r="E499" s="11"/>
      <c r="F499" s="11"/>
      <c r="G499" s="11"/>
      <c r="H499" s="11"/>
      <c r="I499" s="11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20"/>
      <c r="B500" s="11"/>
      <c r="C500" s="11"/>
      <c r="D500" s="11"/>
      <c r="E500" s="11"/>
      <c r="F500" s="11"/>
      <c r="G500" s="11"/>
      <c r="H500" s="11"/>
      <c r="I500" s="1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20"/>
      <c r="B501" s="11"/>
      <c r="C501" s="11"/>
      <c r="D501" s="11"/>
      <c r="E501" s="11"/>
      <c r="F501" s="11"/>
      <c r="G501" s="11"/>
      <c r="H501" s="11"/>
      <c r="I501" s="1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20"/>
      <c r="B502" s="11"/>
      <c r="C502" s="11"/>
      <c r="D502" s="11"/>
      <c r="E502" s="11"/>
      <c r="F502" s="11"/>
      <c r="G502" s="11"/>
      <c r="H502" s="11"/>
      <c r="I502" s="1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20"/>
      <c r="B503" s="11"/>
      <c r="C503" s="11"/>
      <c r="D503" s="11"/>
      <c r="E503" s="11"/>
      <c r="F503" s="11"/>
      <c r="G503" s="11"/>
      <c r="H503" s="11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20"/>
      <c r="B504" s="11"/>
      <c r="C504" s="11"/>
      <c r="D504" s="11"/>
      <c r="E504" s="11"/>
      <c r="F504" s="11"/>
      <c r="G504" s="11"/>
      <c r="H504" s="11"/>
      <c r="I504" s="1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20"/>
      <c r="B505" s="11"/>
      <c r="C505" s="11"/>
      <c r="D505" s="11"/>
      <c r="E505" s="11"/>
      <c r="F505" s="11"/>
      <c r="G505" s="11"/>
      <c r="H505" s="11"/>
      <c r="I505" s="1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20"/>
      <c r="B506" s="11"/>
      <c r="C506" s="11"/>
      <c r="D506" s="11"/>
      <c r="E506" s="11"/>
      <c r="F506" s="11"/>
      <c r="G506" s="11"/>
      <c r="H506" s="11"/>
      <c r="I506" s="1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20"/>
      <c r="B507" s="11"/>
      <c r="C507" s="11"/>
      <c r="D507" s="11"/>
      <c r="E507" s="11"/>
      <c r="F507" s="11"/>
      <c r="G507" s="11"/>
      <c r="H507" s="11"/>
      <c r="I507" s="11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20"/>
      <c r="B508" s="11"/>
      <c r="C508" s="11"/>
      <c r="D508" s="11"/>
      <c r="E508" s="11"/>
      <c r="F508" s="11"/>
      <c r="G508" s="11"/>
      <c r="H508" s="11"/>
      <c r="I508" s="11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20"/>
      <c r="B509" s="11"/>
      <c r="C509" s="11"/>
      <c r="D509" s="11"/>
      <c r="E509" s="11"/>
      <c r="F509" s="11"/>
      <c r="G509" s="11"/>
      <c r="H509" s="11"/>
      <c r="I509" s="11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20"/>
      <c r="B510" s="11"/>
      <c r="C510" s="11"/>
      <c r="D510" s="11"/>
      <c r="E510" s="11"/>
      <c r="F510" s="11"/>
      <c r="G510" s="11"/>
      <c r="H510" s="11"/>
      <c r="I510" s="11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20"/>
      <c r="B511" s="11"/>
      <c r="C511" s="11"/>
      <c r="D511" s="11"/>
      <c r="E511" s="11"/>
      <c r="F511" s="11"/>
      <c r="G511" s="11"/>
      <c r="H511" s="11"/>
      <c r="I511" s="11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20"/>
      <c r="B512" s="11"/>
      <c r="C512" s="11"/>
      <c r="D512" s="11"/>
      <c r="E512" s="11"/>
      <c r="F512" s="11"/>
      <c r="G512" s="11"/>
      <c r="H512" s="11"/>
      <c r="I512" s="11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20"/>
      <c r="B513" s="11"/>
      <c r="C513" s="11"/>
      <c r="D513" s="11"/>
      <c r="E513" s="11"/>
      <c r="F513" s="11"/>
      <c r="G513" s="11"/>
      <c r="H513" s="11"/>
      <c r="I513" s="1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20"/>
      <c r="B514" s="11"/>
      <c r="C514" s="11"/>
      <c r="D514" s="11"/>
      <c r="E514" s="11"/>
      <c r="F514" s="11"/>
      <c r="G514" s="11"/>
      <c r="H514" s="11"/>
      <c r="I514" s="1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20"/>
      <c r="B515" s="11"/>
      <c r="C515" s="11"/>
      <c r="D515" s="11"/>
      <c r="E515" s="11"/>
      <c r="F515" s="11"/>
      <c r="G515" s="11"/>
      <c r="H515" s="11"/>
      <c r="I515" s="1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20"/>
      <c r="B516" s="11"/>
      <c r="C516" s="11"/>
      <c r="D516" s="11"/>
      <c r="E516" s="11"/>
      <c r="F516" s="11"/>
      <c r="G516" s="11"/>
      <c r="H516" s="11"/>
      <c r="I516" s="1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20"/>
      <c r="B517" s="11"/>
      <c r="C517" s="11"/>
      <c r="D517" s="11"/>
      <c r="E517" s="11"/>
      <c r="F517" s="11"/>
      <c r="G517" s="11"/>
      <c r="H517" s="11"/>
      <c r="I517" s="11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20"/>
      <c r="B518" s="11"/>
      <c r="C518" s="11"/>
      <c r="D518" s="11"/>
      <c r="E518" s="11"/>
      <c r="F518" s="11"/>
      <c r="G518" s="11"/>
      <c r="H518" s="11"/>
      <c r="I518" s="11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20"/>
      <c r="B519" s="11"/>
      <c r="C519" s="11"/>
      <c r="D519" s="11"/>
      <c r="E519" s="11"/>
      <c r="F519" s="11"/>
      <c r="G519" s="11"/>
      <c r="H519" s="11"/>
      <c r="I519" s="1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20"/>
      <c r="B520" s="11"/>
      <c r="C520" s="11"/>
      <c r="D520" s="11"/>
      <c r="E520" s="11"/>
      <c r="F520" s="11"/>
      <c r="G520" s="11"/>
      <c r="H520" s="11"/>
      <c r="I520" s="1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20"/>
      <c r="B521" s="11"/>
      <c r="C521" s="11"/>
      <c r="D521" s="11"/>
      <c r="E521" s="11"/>
      <c r="F521" s="11"/>
      <c r="G521" s="11"/>
      <c r="H521" s="11"/>
      <c r="I521" s="11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20"/>
      <c r="B522" s="11"/>
      <c r="C522" s="11"/>
      <c r="D522" s="11"/>
      <c r="E522" s="11"/>
      <c r="F522" s="11"/>
      <c r="G522" s="11"/>
      <c r="H522" s="11"/>
      <c r="I522" s="11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20"/>
      <c r="B523" s="11"/>
      <c r="C523" s="11"/>
      <c r="D523" s="11"/>
      <c r="E523" s="11"/>
      <c r="F523" s="11"/>
      <c r="G523" s="11"/>
      <c r="H523" s="11"/>
      <c r="I523" s="11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20"/>
      <c r="B524" s="11"/>
      <c r="C524" s="11"/>
      <c r="D524" s="11"/>
      <c r="E524" s="11"/>
      <c r="F524" s="11"/>
      <c r="G524" s="11"/>
      <c r="H524" s="11"/>
      <c r="I524" s="11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20"/>
      <c r="B525" s="11"/>
      <c r="C525" s="11"/>
      <c r="D525" s="11"/>
      <c r="E525" s="11"/>
      <c r="F525" s="11"/>
      <c r="G525" s="11"/>
      <c r="H525" s="11"/>
      <c r="I525" s="1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20"/>
      <c r="B526" s="11"/>
      <c r="C526" s="11"/>
      <c r="D526" s="11"/>
      <c r="E526" s="11"/>
      <c r="F526" s="11"/>
      <c r="G526" s="11"/>
      <c r="H526" s="11"/>
      <c r="I526" s="11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20"/>
      <c r="B527" s="11"/>
      <c r="C527" s="11"/>
      <c r="D527" s="11"/>
      <c r="E527" s="11"/>
      <c r="F527" s="11"/>
      <c r="G527" s="11"/>
      <c r="H527" s="11"/>
      <c r="I527" s="11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20"/>
      <c r="B528" s="11"/>
      <c r="C528" s="11"/>
      <c r="D528" s="11"/>
      <c r="E528" s="11"/>
      <c r="F528" s="11"/>
      <c r="G528" s="11"/>
      <c r="H528" s="11"/>
      <c r="I528" s="1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20"/>
      <c r="B529" s="11"/>
      <c r="C529" s="11"/>
      <c r="D529" s="11"/>
      <c r="E529" s="11"/>
      <c r="F529" s="11"/>
      <c r="G529" s="11"/>
      <c r="H529" s="11"/>
      <c r="I529" s="1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20"/>
      <c r="B530" s="11"/>
      <c r="C530" s="11"/>
      <c r="D530" s="11"/>
      <c r="E530" s="11"/>
      <c r="F530" s="11"/>
      <c r="G530" s="11"/>
      <c r="H530" s="11"/>
      <c r="I530" s="1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20"/>
      <c r="B531" s="11"/>
      <c r="C531" s="11"/>
      <c r="D531" s="11"/>
      <c r="E531" s="11"/>
      <c r="F531" s="11"/>
      <c r="G531" s="11"/>
      <c r="H531" s="11"/>
      <c r="I531" s="11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20"/>
      <c r="B532" s="11"/>
      <c r="C532" s="11"/>
      <c r="D532" s="11"/>
      <c r="E532" s="11"/>
      <c r="F532" s="11"/>
      <c r="G532" s="11"/>
      <c r="H532" s="11"/>
      <c r="I532" s="11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20"/>
      <c r="B533" s="11"/>
      <c r="C533" s="11"/>
      <c r="D533" s="11"/>
      <c r="E533" s="11"/>
      <c r="F533" s="11"/>
      <c r="G533" s="11"/>
      <c r="H533" s="11"/>
      <c r="I533" s="1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20"/>
      <c r="B534" s="11"/>
      <c r="C534" s="11"/>
      <c r="D534" s="11"/>
      <c r="E534" s="11"/>
      <c r="F534" s="11"/>
      <c r="G534" s="11"/>
      <c r="H534" s="11"/>
      <c r="I534" s="11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20"/>
      <c r="B535" s="11"/>
      <c r="C535" s="11"/>
      <c r="D535" s="11"/>
      <c r="E535" s="11"/>
      <c r="F535" s="11"/>
      <c r="G535" s="11"/>
      <c r="H535" s="11"/>
      <c r="I535" s="1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20"/>
      <c r="B536" s="11"/>
      <c r="C536" s="11"/>
      <c r="D536" s="11"/>
      <c r="E536" s="11"/>
      <c r="F536" s="11"/>
      <c r="G536" s="11"/>
      <c r="H536" s="11"/>
      <c r="I536" s="1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20"/>
      <c r="B537" s="11"/>
      <c r="C537" s="11"/>
      <c r="D537" s="11"/>
      <c r="E537" s="11"/>
      <c r="F537" s="11"/>
      <c r="G537" s="11"/>
      <c r="H537" s="11"/>
      <c r="I537" s="1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20"/>
      <c r="B538" s="11"/>
      <c r="C538" s="11"/>
      <c r="D538" s="11"/>
      <c r="E538" s="11"/>
      <c r="F538" s="11"/>
      <c r="G538" s="11"/>
      <c r="H538" s="11"/>
      <c r="I538" s="1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20"/>
      <c r="B539" s="11"/>
      <c r="C539" s="11"/>
      <c r="D539" s="11"/>
      <c r="E539" s="11"/>
      <c r="F539" s="11"/>
      <c r="G539" s="11"/>
      <c r="H539" s="11"/>
      <c r="I539" s="11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20"/>
      <c r="B540" s="11"/>
      <c r="C540" s="11"/>
      <c r="D540" s="11"/>
      <c r="E540" s="11"/>
      <c r="F540" s="11"/>
      <c r="G540" s="11"/>
      <c r="H540" s="11"/>
      <c r="I540" s="11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20"/>
      <c r="B541" s="11"/>
      <c r="C541" s="11"/>
      <c r="D541" s="11"/>
      <c r="E541" s="11"/>
      <c r="F541" s="11"/>
      <c r="G541" s="11"/>
      <c r="H541" s="11"/>
      <c r="I541" s="1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20"/>
      <c r="B542" s="11"/>
      <c r="C542" s="11"/>
      <c r="D542" s="11"/>
      <c r="E542" s="11"/>
      <c r="F542" s="11"/>
      <c r="G542" s="11"/>
      <c r="H542" s="11"/>
      <c r="I542" s="1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20"/>
      <c r="B543" s="11"/>
      <c r="C543" s="11"/>
      <c r="D543" s="11"/>
      <c r="E543" s="11"/>
      <c r="F543" s="11"/>
      <c r="G543" s="11"/>
      <c r="H543" s="11"/>
      <c r="I543" s="1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20"/>
      <c r="B544" s="11"/>
      <c r="C544" s="11"/>
      <c r="D544" s="11"/>
      <c r="E544" s="11"/>
      <c r="F544" s="11"/>
      <c r="G544" s="11"/>
      <c r="H544" s="11"/>
      <c r="I544" s="11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20"/>
      <c r="B545" s="11"/>
      <c r="C545" s="11"/>
      <c r="D545" s="11"/>
      <c r="E545" s="11"/>
      <c r="F545" s="11"/>
      <c r="G545" s="11"/>
      <c r="H545" s="11"/>
      <c r="I545" s="1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20"/>
      <c r="B546" s="11"/>
      <c r="C546" s="11"/>
      <c r="D546" s="11"/>
      <c r="E546" s="11"/>
      <c r="F546" s="11"/>
      <c r="G546" s="11"/>
      <c r="H546" s="11"/>
      <c r="I546" s="1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20"/>
      <c r="B547" s="11"/>
      <c r="C547" s="11"/>
      <c r="D547" s="11"/>
      <c r="E547" s="11"/>
      <c r="F547" s="11"/>
      <c r="G547" s="11"/>
      <c r="H547" s="11"/>
      <c r="I547" s="11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20"/>
      <c r="B548" s="11"/>
      <c r="C548" s="11"/>
      <c r="D548" s="11"/>
      <c r="E548" s="11"/>
      <c r="F548" s="11"/>
      <c r="G548" s="11"/>
      <c r="H548" s="11"/>
      <c r="I548" s="11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20"/>
      <c r="B549" s="11"/>
      <c r="C549" s="11"/>
      <c r="D549" s="11"/>
      <c r="E549" s="11"/>
      <c r="F549" s="11"/>
      <c r="G549" s="11"/>
      <c r="H549" s="11"/>
      <c r="I549" s="11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20"/>
      <c r="B550" s="11"/>
      <c r="C550" s="11"/>
      <c r="D550" s="11"/>
      <c r="E550" s="11"/>
      <c r="F550" s="11"/>
      <c r="G550" s="11"/>
      <c r="H550" s="11"/>
      <c r="I550" s="11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20"/>
      <c r="B551" s="11"/>
      <c r="C551" s="11"/>
      <c r="D551" s="11"/>
      <c r="E551" s="11"/>
      <c r="F551" s="11"/>
      <c r="G551" s="11"/>
      <c r="H551" s="11"/>
      <c r="I551" s="11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20"/>
      <c r="B552" s="11"/>
      <c r="C552" s="11"/>
      <c r="D552" s="11"/>
      <c r="E552" s="11"/>
      <c r="F552" s="11"/>
      <c r="G552" s="11"/>
      <c r="H552" s="11"/>
      <c r="I552" s="11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20"/>
      <c r="B553" s="11"/>
      <c r="C553" s="11"/>
      <c r="D553" s="11"/>
      <c r="E553" s="11"/>
      <c r="F553" s="11"/>
      <c r="G553" s="11"/>
      <c r="H553" s="11"/>
      <c r="I553" s="11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20"/>
      <c r="B554" s="11"/>
      <c r="C554" s="11"/>
      <c r="D554" s="11"/>
      <c r="E554" s="11"/>
      <c r="F554" s="11"/>
      <c r="G554" s="11"/>
      <c r="H554" s="11"/>
      <c r="I554" s="11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20"/>
      <c r="B555" s="11"/>
      <c r="C555" s="11"/>
      <c r="D555" s="11"/>
      <c r="E555" s="11"/>
      <c r="F555" s="11"/>
      <c r="G555" s="11"/>
      <c r="H555" s="11"/>
      <c r="I555" s="11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20"/>
      <c r="B556" s="11"/>
      <c r="C556" s="11"/>
      <c r="D556" s="11"/>
      <c r="E556" s="11"/>
      <c r="F556" s="11"/>
      <c r="G556" s="11"/>
      <c r="H556" s="11"/>
      <c r="I556" s="11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20"/>
      <c r="B557" s="11"/>
      <c r="C557" s="11"/>
      <c r="D557" s="11"/>
      <c r="E557" s="11"/>
      <c r="F557" s="11"/>
      <c r="G557" s="11"/>
      <c r="H557" s="11"/>
      <c r="I557" s="11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20"/>
      <c r="B558" s="11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20"/>
      <c r="B559" s="11"/>
      <c r="C559" s="11"/>
      <c r="D559" s="11"/>
      <c r="E559" s="11"/>
      <c r="F559" s="11"/>
      <c r="G559" s="11"/>
      <c r="H559" s="11"/>
      <c r="I559" s="11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20"/>
      <c r="B560" s="11"/>
      <c r="C560" s="11"/>
      <c r="D560" s="11"/>
      <c r="E560" s="11"/>
      <c r="F560" s="11"/>
      <c r="G560" s="11"/>
      <c r="H560" s="11"/>
      <c r="I560" s="11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20"/>
      <c r="B561" s="11"/>
      <c r="C561" s="11"/>
      <c r="D561" s="11"/>
      <c r="E561" s="11"/>
      <c r="F561" s="11"/>
      <c r="G561" s="11"/>
      <c r="H561" s="11"/>
      <c r="I561" s="11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20"/>
      <c r="B562" s="11"/>
      <c r="C562" s="11"/>
      <c r="D562" s="11"/>
      <c r="E562" s="11"/>
      <c r="F562" s="11"/>
      <c r="G562" s="11"/>
      <c r="H562" s="11"/>
      <c r="I562" s="11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20"/>
      <c r="B563" s="11"/>
      <c r="C563" s="11"/>
      <c r="D563" s="11"/>
      <c r="E563" s="11"/>
      <c r="F563" s="11"/>
      <c r="G563" s="11"/>
      <c r="H563" s="11"/>
      <c r="I563" s="11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20"/>
      <c r="B564" s="11"/>
      <c r="C564" s="11"/>
      <c r="D564" s="11"/>
      <c r="E564" s="11"/>
      <c r="F564" s="11"/>
      <c r="G564" s="11"/>
      <c r="H564" s="11"/>
      <c r="I564" s="11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20"/>
      <c r="B565" s="11"/>
      <c r="C565" s="11"/>
      <c r="D565" s="11"/>
      <c r="E565" s="11"/>
      <c r="F565" s="11"/>
      <c r="G565" s="11"/>
      <c r="H565" s="11"/>
      <c r="I565" s="11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20"/>
      <c r="B566" s="11"/>
      <c r="C566" s="11"/>
      <c r="D566" s="11"/>
      <c r="E566" s="11"/>
      <c r="F566" s="11"/>
      <c r="G566" s="11"/>
      <c r="H566" s="11"/>
      <c r="I566" s="11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20"/>
      <c r="B567" s="11"/>
      <c r="C567" s="11"/>
      <c r="D567" s="11"/>
      <c r="E567" s="11"/>
      <c r="F567" s="11"/>
      <c r="G567" s="11"/>
      <c r="H567" s="11"/>
      <c r="I567" s="11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20"/>
      <c r="B568" s="11"/>
      <c r="C568" s="11"/>
      <c r="D568" s="11"/>
      <c r="E568" s="11"/>
      <c r="F568" s="11"/>
      <c r="G568" s="11"/>
      <c r="H568" s="11"/>
      <c r="I568" s="11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20"/>
      <c r="B569" s="11"/>
      <c r="C569" s="11"/>
      <c r="D569" s="11"/>
      <c r="E569" s="11"/>
      <c r="F569" s="11"/>
      <c r="G569" s="11"/>
      <c r="H569" s="11"/>
      <c r="I569" s="1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20"/>
      <c r="B570" s="11"/>
      <c r="C570" s="11"/>
      <c r="D570" s="11"/>
      <c r="E570" s="11"/>
      <c r="F570" s="11"/>
      <c r="G570" s="11"/>
      <c r="H570" s="11"/>
      <c r="I570" s="1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20"/>
      <c r="B571" s="11"/>
      <c r="C571" s="11"/>
      <c r="D571" s="11"/>
      <c r="E571" s="11"/>
      <c r="F571" s="11"/>
      <c r="G571" s="11"/>
      <c r="H571" s="11"/>
      <c r="I571" s="1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20"/>
      <c r="B572" s="11"/>
      <c r="C572" s="11"/>
      <c r="D572" s="11"/>
      <c r="E572" s="11"/>
      <c r="F572" s="11"/>
      <c r="G572" s="11"/>
      <c r="H572" s="11"/>
      <c r="I572" s="1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20"/>
      <c r="B573" s="11"/>
      <c r="C573" s="11"/>
      <c r="D573" s="11"/>
      <c r="E573" s="11"/>
      <c r="F573" s="11"/>
      <c r="G573" s="11"/>
      <c r="H573" s="11"/>
      <c r="I573" s="1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20"/>
      <c r="B574" s="11"/>
      <c r="C574" s="11"/>
      <c r="D574" s="11"/>
      <c r="E574" s="11"/>
      <c r="F574" s="11"/>
      <c r="G574" s="11"/>
      <c r="H574" s="11"/>
      <c r="I574" s="11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20"/>
      <c r="B575" s="11"/>
      <c r="C575" s="11"/>
      <c r="D575" s="11"/>
      <c r="E575" s="11"/>
      <c r="F575" s="11"/>
      <c r="G575" s="11"/>
      <c r="H575" s="11"/>
      <c r="I575" s="1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20"/>
      <c r="B576" s="11"/>
      <c r="C576" s="11"/>
      <c r="D576" s="11"/>
      <c r="E576" s="11"/>
      <c r="F576" s="11"/>
      <c r="G576" s="11"/>
      <c r="H576" s="11"/>
      <c r="I576" s="1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20"/>
      <c r="B577" s="11"/>
      <c r="C577" s="11"/>
      <c r="D577" s="11"/>
      <c r="E577" s="11"/>
      <c r="F577" s="11"/>
      <c r="G577" s="11"/>
      <c r="H577" s="11"/>
      <c r="I577" s="1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20"/>
      <c r="B578" s="11"/>
      <c r="C578" s="11"/>
      <c r="D578" s="11"/>
      <c r="E578" s="11"/>
      <c r="F578" s="11"/>
      <c r="G578" s="11"/>
      <c r="H578" s="11"/>
      <c r="I578" s="11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20"/>
      <c r="B579" s="11"/>
      <c r="C579" s="11"/>
      <c r="D579" s="11"/>
      <c r="E579" s="11"/>
      <c r="F579" s="11"/>
      <c r="G579" s="11"/>
      <c r="H579" s="11"/>
      <c r="I579" s="1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20"/>
      <c r="B580" s="11"/>
      <c r="C580" s="11"/>
      <c r="D580" s="11"/>
      <c r="E580" s="11"/>
      <c r="F580" s="11"/>
      <c r="G580" s="11"/>
      <c r="H580" s="11"/>
      <c r="I580" s="11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20"/>
      <c r="B581" s="11"/>
      <c r="C581" s="11"/>
      <c r="D581" s="11"/>
      <c r="E581" s="11"/>
      <c r="F581" s="11"/>
      <c r="G581" s="11"/>
      <c r="H581" s="11"/>
      <c r="I581" s="11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20"/>
      <c r="B582" s="11"/>
      <c r="C582" s="11"/>
      <c r="D582" s="11"/>
      <c r="E582" s="11"/>
      <c r="F582" s="11"/>
      <c r="G582" s="11"/>
      <c r="H582" s="11"/>
      <c r="I582" s="11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20"/>
      <c r="B583" s="11"/>
      <c r="C583" s="11"/>
      <c r="D583" s="11"/>
      <c r="E583" s="11"/>
      <c r="F583" s="11"/>
      <c r="G583" s="11"/>
      <c r="H583" s="11"/>
      <c r="I583" s="11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20"/>
      <c r="B584" s="11"/>
      <c r="C584" s="11"/>
      <c r="D584" s="11"/>
      <c r="E584" s="11"/>
      <c r="F584" s="11"/>
      <c r="G584" s="11"/>
      <c r="H584" s="11"/>
      <c r="I584" s="11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20"/>
      <c r="B585" s="11"/>
      <c r="C585" s="11"/>
      <c r="D585" s="11"/>
      <c r="E585" s="11"/>
      <c r="F585" s="11"/>
      <c r="G585" s="11"/>
      <c r="H585" s="11"/>
      <c r="I585" s="11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20"/>
      <c r="B586" s="11"/>
      <c r="C586" s="11"/>
      <c r="D586" s="11"/>
      <c r="E586" s="11"/>
      <c r="F586" s="11"/>
      <c r="G586" s="11"/>
      <c r="H586" s="11"/>
      <c r="I586" s="11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20"/>
      <c r="B587" s="11"/>
      <c r="C587" s="11"/>
      <c r="D587" s="11"/>
      <c r="E587" s="11"/>
      <c r="F587" s="11"/>
      <c r="G587" s="11"/>
      <c r="H587" s="11"/>
      <c r="I587" s="1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20"/>
      <c r="B588" s="11"/>
      <c r="C588" s="11"/>
      <c r="D588" s="11"/>
      <c r="E588" s="11"/>
      <c r="F588" s="11"/>
      <c r="G588" s="11"/>
      <c r="H588" s="11"/>
      <c r="I588" s="1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20"/>
      <c r="B589" s="11"/>
      <c r="C589" s="11"/>
      <c r="D589" s="11"/>
      <c r="E589" s="11"/>
      <c r="F589" s="11"/>
      <c r="G589" s="11"/>
      <c r="H589" s="11"/>
      <c r="I589" s="11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20"/>
      <c r="B590" s="11"/>
      <c r="C590" s="11"/>
      <c r="D590" s="11"/>
      <c r="E590" s="11"/>
      <c r="F590" s="11"/>
      <c r="G590" s="11"/>
      <c r="H590" s="11"/>
      <c r="I590" s="11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20"/>
      <c r="B591" s="11"/>
      <c r="C591" s="11"/>
      <c r="D591" s="11"/>
      <c r="E591" s="11"/>
      <c r="F591" s="11"/>
      <c r="G591" s="11"/>
      <c r="H591" s="11"/>
      <c r="I591" s="1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20"/>
      <c r="B592" s="11"/>
      <c r="C592" s="11"/>
      <c r="D592" s="11"/>
      <c r="E592" s="11"/>
      <c r="F592" s="11"/>
      <c r="G592" s="11"/>
      <c r="H592" s="11"/>
      <c r="I592" s="1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20"/>
      <c r="B593" s="11"/>
      <c r="C593" s="11"/>
      <c r="D593" s="11"/>
      <c r="E593" s="11"/>
      <c r="F593" s="11"/>
      <c r="G593" s="11"/>
      <c r="H593" s="11"/>
      <c r="I593" s="1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20"/>
      <c r="B594" s="11"/>
      <c r="C594" s="11"/>
      <c r="D594" s="11"/>
      <c r="E594" s="11"/>
      <c r="F594" s="11"/>
      <c r="G594" s="11"/>
      <c r="H594" s="11"/>
      <c r="I594" s="1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20"/>
      <c r="B595" s="11"/>
      <c r="C595" s="11"/>
      <c r="D595" s="11"/>
      <c r="E595" s="11"/>
      <c r="F595" s="11"/>
      <c r="G595" s="11"/>
      <c r="H595" s="11"/>
      <c r="I595" s="1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20"/>
      <c r="B596" s="11"/>
      <c r="C596" s="11"/>
      <c r="D596" s="11"/>
      <c r="E596" s="11"/>
      <c r="F596" s="11"/>
      <c r="G596" s="11"/>
      <c r="H596" s="11"/>
      <c r="I596" s="1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20"/>
      <c r="B597" s="11"/>
      <c r="C597" s="11"/>
      <c r="D597" s="11"/>
      <c r="E597" s="11"/>
      <c r="F597" s="11"/>
      <c r="G597" s="11"/>
      <c r="H597" s="11"/>
      <c r="I597" s="1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20"/>
      <c r="B598" s="11"/>
      <c r="C598" s="11"/>
      <c r="D598" s="11"/>
      <c r="E598" s="11"/>
      <c r="F598" s="11"/>
      <c r="G598" s="11"/>
      <c r="H598" s="11"/>
      <c r="I598" s="1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20"/>
      <c r="B599" s="11"/>
      <c r="C599" s="11"/>
      <c r="D599" s="11"/>
      <c r="E599" s="11"/>
      <c r="F599" s="11"/>
      <c r="G599" s="11"/>
      <c r="H599" s="11"/>
      <c r="I599" s="1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20"/>
      <c r="B600" s="11"/>
      <c r="C600" s="11"/>
      <c r="D600" s="11"/>
      <c r="E600" s="11"/>
      <c r="F600" s="11"/>
      <c r="G600" s="11"/>
      <c r="H600" s="11"/>
      <c r="I600" s="1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20"/>
      <c r="B601" s="11"/>
      <c r="C601" s="11"/>
      <c r="D601" s="11"/>
      <c r="E601" s="11"/>
      <c r="F601" s="11"/>
      <c r="G601" s="11"/>
      <c r="H601" s="11"/>
      <c r="I601" s="1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20"/>
      <c r="B602" s="11"/>
      <c r="C602" s="11"/>
      <c r="D602" s="11"/>
      <c r="E602" s="11"/>
      <c r="F602" s="11"/>
      <c r="G602" s="11"/>
      <c r="H602" s="11"/>
      <c r="I602" s="11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20"/>
      <c r="B603" s="11"/>
      <c r="C603" s="11"/>
      <c r="D603" s="11"/>
      <c r="E603" s="11"/>
      <c r="F603" s="11"/>
      <c r="G603" s="11"/>
      <c r="H603" s="11"/>
      <c r="I603" s="11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20"/>
      <c r="B604" s="11"/>
      <c r="C604" s="11"/>
      <c r="D604" s="11"/>
      <c r="E604" s="11"/>
      <c r="F604" s="11"/>
      <c r="G604" s="11"/>
      <c r="H604" s="11"/>
      <c r="I604" s="11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20"/>
      <c r="B605" s="11"/>
      <c r="C605" s="11"/>
      <c r="D605" s="11"/>
      <c r="E605" s="11"/>
      <c r="F605" s="11"/>
      <c r="G605" s="11"/>
      <c r="H605" s="11"/>
      <c r="I605" s="11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20"/>
      <c r="B606" s="11"/>
      <c r="C606" s="11"/>
      <c r="D606" s="11"/>
      <c r="E606" s="11"/>
      <c r="F606" s="11"/>
      <c r="G606" s="11"/>
      <c r="H606" s="11"/>
      <c r="I606" s="1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20"/>
      <c r="B607" s="11"/>
      <c r="C607" s="11"/>
      <c r="D607" s="11"/>
      <c r="E607" s="11"/>
      <c r="F607" s="11"/>
      <c r="G607" s="11"/>
      <c r="H607" s="11"/>
      <c r="I607" s="11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20"/>
      <c r="B608" s="11"/>
      <c r="C608" s="11"/>
      <c r="D608" s="11"/>
      <c r="E608" s="11"/>
      <c r="F608" s="11"/>
      <c r="G608" s="11"/>
      <c r="H608" s="11"/>
      <c r="I608" s="11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20"/>
      <c r="B609" s="11"/>
      <c r="C609" s="11"/>
      <c r="D609" s="11"/>
      <c r="E609" s="11"/>
      <c r="F609" s="11"/>
      <c r="G609" s="11"/>
      <c r="H609" s="11"/>
      <c r="I609" s="11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20"/>
      <c r="B610" s="11"/>
      <c r="C610" s="11"/>
      <c r="D610" s="11"/>
      <c r="E610" s="11"/>
      <c r="F610" s="11"/>
      <c r="G610" s="11"/>
      <c r="H610" s="11"/>
      <c r="I610" s="11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20"/>
      <c r="B611" s="11"/>
      <c r="C611" s="11"/>
      <c r="D611" s="11"/>
      <c r="E611" s="11"/>
      <c r="F611" s="11"/>
      <c r="G611" s="11"/>
      <c r="H611" s="11"/>
      <c r="I611" s="11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20"/>
      <c r="B612" s="11"/>
      <c r="C612" s="11"/>
      <c r="D612" s="11"/>
      <c r="E612" s="11"/>
      <c r="F612" s="11"/>
      <c r="G612" s="11"/>
      <c r="H612" s="11"/>
      <c r="I612" s="1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20"/>
      <c r="B613" s="11"/>
      <c r="C613" s="11"/>
      <c r="D613" s="11"/>
      <c r="E613" s="11"/>
      <c r="F613" s="11"/>
      <c r="G613" s="11"/>
      <c r="H613" s="11"/>
      <c r="I613" s="11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20"/>
      <c r="B614" s="11"/>
      <c r="C614" s="11"/>
      <c r="D614" s="11"/>
      <c r="E614" s="11"/>
      <c r="F614" s="11"/>
      <c r="G614" s="11"/>
      <c r="H614" s="11"/>
      <c r="I614" s="1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20"/>
      <c r="B615" s="11"/>
      <c r="C615" s="11"/>
      <c r="D615" s="11"/>
      <c r="E615" s="11"/>
      <c r="F615" s="11"/>
      <c r="G615" s="11"/>
      <c r="H615" s="11"/>
      <c r="I615" s="1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20"/>
      <c r="B616" s="11"/>
      <c r="C616" s="11"/>
      <c r="D616" s="11"/>
      <c r="E616" s="11"/>
      <c r="F616" s="11"/>
      <c r="G616" s="11"/>
      <c r="H616" s="11"/>
      <c r="I616" s="1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20"/>
      <c r="B617" s="11"/>
      <c r="C617" s="11"/>
      <c r="D617" s="11"/>
      <c r="E617" s="11"/>
      <c r="F617" s="11"/>
      <c r="G617" s="11"/>
      <c r="H617" s="11"/>
      <c r="I617" s="1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20"/>
      <c r="B618" s="11"/>
      <c r="C618" s="11"/>
      <c r="D618" s="11"/>
      <c r="E618" s="11"/>
      <c r="F618" s="11"/>
      <c r="G618" s="11"/>
      <c r="H618" s="11"/>
      <c r="I618" s="1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20"/>
      <c r="B619" s="11"/>
      <c r="C619" s="11"/>
      <c r="D619" s="11"/>
      <c r="E619" s="11"/>
      <c r="F619" s="11"/>
      <c r="G619" s="11"/>
      <c r="H619" s="11"/>
      <c r="I619" s="1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20"/>
      <c r="B620" s="11"/>
      <c r="C620" s="11"/>
      <c r="D620" s="11"/>
      <c r="E620" s="11"/>
      <c r="F620" s="11"/>
      <c r="G620" s="11"/>
      <c r="H620" s="11"/>
      <c r="I620" s="1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20"/>
      <c r="B621" s="11"/>
      <c r="C621" s="11"/>
      <c r="D621" s="11"/>
      <c r="E621" s="11"/>
      <c r="F621" s="11"/>
      <c r="G621" s="11"/>
      <c r="H621" s="11"/>
      <c r="I621" s="1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20"/>
      <c r="B622" s="11"/>
      <c r="C622" s="11"/>
      <c r="D622" s="11"/>
      <c r="E622" s="11"/>
      <c r="F622" s="11"/>
      <c r="G622" s="11"/>
      <c r="H622" s="11"/>
      <c r="I622" s="1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20"/>
      <c r="B623" s="11"/>
      <c r="C623" s="11"/>
      <c r="D623" s="11"/>
      <c r="E623" s="11"/>
      <c r="F623" s="11"/>
      <c r="G623" s="11"/>
      <c r="H623" s="11"/>
      <c r="I623" s="1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20"/>
      <c r="B624" s="11"/>
      <c r="C624" s="11"/>
      <c r="D624" s="11"/>
      <c r="E624" s="11"/>
      <c r="F624" s="11"/>
      <c r="G624" s="11"/>
      <c r="H624" s="11"/>
      <c r="I624" s="1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20"/>
      <c r="B625" s="11"/>
      <c r="C625" s="11"/>
      <c r="D625" s="11"/>
      <c r="E625" s="11"/>
      <c r="F625" s="11"/>
      <c r="G625" s="11"/>
      <c r="H625" s="11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20"/>
      <c r="B626" s="11"/>
      <c r="C626" s="11"/>
      <c r="D626" s="11"/>
      <c r="E626" s="11"/>
      <c r="F626" s="11"/>
      <c r="G626" s="11"/>
      <c r="H626" s="11"/>
      <c r="I626" s="1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20"/>
      <c r="B627" s="11"/>
      <c r="C627" s="11"/>
      <c r="D627" s="11"/>
      <c r="E627" s="11"/>
      <c r="F627" s="11"/>
      <c r="G627" s="11"/>
      <c r="H627" s="11"/>
      <c r="I627" s="1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20"/>
      <c r="B628" s="11"/>
      <c r="C628" s="11"/>
      <c r="D628" s="11"/>
      <c r="E628" s="11"/>
      <c r="F628" s="11"/>
      <c r="G628" s="11"/>
      <c r="H628" s="11"/>
      <c r="I628" s="1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20"/>
      <c r="B629" s="11"/>
      <c r="C629" s="11"/>
      <c r="D629" s="11"/>
      <c r="E629" s="11"/>
      <c r="F629" s="11"/>
      <c r="G629" s="11"/>
      <c r="H629" s="11"/>
      <c r="I629" s="1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20"/>
      <c r="B630" s="11"/>
      <c r="C630" s="11"/>
      <c r="D630" s="11"/>
      <c r="E630" s="11"/>
      <c r="F630" s="11"/>
      <c r="G630" s="11"/>
      <c r="H630" s="11"/>
      <c r="I630" s="11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20"/>
      <c r="B631" s="11"/>
      <c r="C631" s="11"/>
      <c r="D631" s="11"/>
      <c r="E631" s="11"/>
      <c r="F631" s="11"/>
      <c r="G631" s="11"/>
      <c r="H631" s="11"/>
      <c r="I631" s="1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20"/>
      <c r="B632" s="11"/>
      <c r="C632" s="11"/>
      <c r="D632" s="11"/>
      <c r="E632" s="11"/>
      <c r="F632" s="11"/>
      <c r="G632" s="11"/>
      <c r="H632" s="11"/>
      <c r="I632" s="1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20"/>
      <c r="B633" s="11"/>
      <c r="C633" s="11"/>
      <c r="D633" s="11"/>
      <c r="E633" s="11"/>
      <c r="F633" s="11"/>
      <c r="G633" s="11"/>
      <c r="H633" s="11"/>
      <c r="I633" s="1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20"/>
      <c r="B634" s="11"/>
      <c r="C634" s="11"/>
      <c r="D634" s="11"/>
      <c r="E634" s="11"/>
      <c r="F634" s="11"/>
      <c r="G634" s="11"/>
      <c r="H634" s="11"/>
      <c r="I634" s="1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20"/>
      <c r="B635" s="11"/>
      <c r="C635" s="11"/>
      <c r="D635" s="11"/>
      <c r="E635" s="11"/>
      <c r="F635" s="11"/>
      <c r="G635" s="11"/>
      <c r="H635" s="11"/>
      <c r="I635" s="1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20"/>
      <c r="B636" s="11"/>
      <c r="C636" s="11"/>
      <c r="D636" s="11"/>
      <c r="E636" s="11"/>
      <c r="F636" s="11"/>
      <c r="G636" s="11"/>
      <c r="H636" s="11"/>
      <c r="I636" s="11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20"/>
      <c r="B637" s="11"/>
      <c r="C637" s="11"/>
      <c r="D637" s="11"/>
      <c r="E637" s="11"/>
      <c r="F637" s="11"/>
      <c r="G637" s="11"/>
      <c r="H637" s="11"/>
      <c r="I637" s="1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20"/>
      <c r="B638" s="11"/>
      <c r="C638" s="11"/>
      <c r="D638" s="11"/>
      <c r="E638" s="11"/>
      <c r="F638" s="11"/>
      <c r="G638" s="11"/>
      <c r="H638" s="11"/>
      <c r="I638" s="1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20"/>
      <c r="B639" s="11"/>
      <c r="C639" s="11"/>
      <c r="D639" s="11"/>
      <c r="E639" s="11"/>
      <c r="F639" s="11"/>
      <c r="G639" s="11"/>
      <c r="H639" s="11"/>
      <c r="I639" s="1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20"/>
      <c r="B640" s="11"/>
      <c r="C640" s="11"/>
      <c r="D640" s="11"/>
      <c r="E640" s="11"/>
      <c r="F640" s="11"/>
      <c r="G640" s="11"/>
      <c r="H640" s="11"/>
      <c r="I640" s="1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20"/>
      <c r="B641" s="11"/>
      <c r="C641" s="11"/>
      <c r="D641" s="11"/>
      <c r="E641" s="11"/>
      <c r="F641" s="11"/>
      <c r="G641" s="11"/>
      <c r="H641" s="11"/>
      <c r="I641" s="11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20"/>
      <c r="B642" s="11"/>
      <c r="C642" s="11"/>
      <c r="D642" s="11"/>
      <c r="E642" s="11"/>
      <c r="F642" s="11"/>
      <c r="G642" s="11"/>
      <c r="H642" s="11"/>
      <c r="I642" s="1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20"/>
      <c r="B643" s="11"/>
      <c r="C643" s="11"/>
      <c r="D643" s="11"/>
      <c r="E643" s="11"/>
      <c r="F643" s="11"/>
      <c r="G643" s="11"/>
      <c r="H643" s="11"/>
      <c r="I643" s="1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20"/>
      <c r="B644" s="11"/>
      <c r="C644" s="11"/>
      <c r="D644" s="11"/>
      <c r="E644" s="11"/>
      <c r="F644" s="11"/>
      <c r="G644" s="11"/>
      <c r="H644" s="11"/>
      <c r="I644" s="1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20"/>
      <c r="B645" s="11"/>
      <c r="C645" s="11"/>
      <c r="D645" s="11"/>
      <c r="E645" s="11"/>
      <c r="F645" s="11"/>
      <c r="G645" s="11"/>
      <c r="H645" s="11"/>
      <c r="I645" s="1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20"/>
      <c r="B646" s="11"/>
      <c r="C646" s="11"/>
      <c r="D646" s="11"/>
      <c r="E646" s="11"/>
      <c r="F646" s="11"/>
      <c r="G646" s="11"/>
      <c r="H646" s="11"/>
      <c r="I646" s="1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20"/>
      <c r="B647" s="11"/>
      <c r="C647" s="11"/>
      <c r="D647" s="11"/>
      <c r="E647" s="11"/>
      <c r="F647" s="11"/>
      <c r="G647" s="11"/>
      <c r="H647" s="11"/>
      <c r="I647" s="1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20"/>
      <c r="B648" s="11"/>
      <c r="C648" s="11"/>
      <c r="D648" s="11"/>
      <c r="E648" s="11"/>
      <c r="F648" s="11"/>
      <c r="G648" s="11"/>
      <c r="H648" s="11"/>
      <c r="I648" s="11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20"/>
      <c r="B649" s="11"/>
      <c r="C649" s="11"/>
      <c r="D649" s="11"/>
      <c r="E649" s="11"/>
      <c r="F649" s="11"/>
      <c r="G649" s="11"/>
      <c r="H649" s="11"/>
      <c r="I649" s="1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20"/>
      <c r="B650" s="11"/>
      <c r="C650" s="11"/>
      <c r="D650" s="11"/>
      <c r="E650" s="11"/>
      <c r="F650" s="11"/>
      <c r="G650" s="11"/>
      <c r="H650" s="11"/>
      <c r="I650" s="1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20"/>
      <c r="B651" s="11"/>
      <c r="C651" s="11"/>
      <c r="D651" s="11"/>
      <c r="E651" s="11"/>
      <c r="F651" s="11"/>
      <c r="G651" s="11"/>
      <c r="H651" s="11"/>
      <c r="I651" s="1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20"/>
      <c r="B652" s="11"/>
      <c r="C652" s="11"/>
      <c r="D652" s="11"/>
      <c r="E652" s="11"/>
      <c r="F652" s="11"/>
      <c r="G652" s="11"/>
      <c r="H652" s="11"/>
      <c r="I652" s="1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20"/>
      <c r="B653" s="11"/>
      <c r="C653" s="11"/>
      <c r="D653" s="11"/>
      <c r="E653" s="11"/>
      <c r="F653" s="11"/>
      <c r="G653" s="11"/>
      <c r="H653" s="11"/>
      <c r="I653" s="1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20"/>
      <c r="B654" s="11"/>
      <c r="C654" s="11"/>
      <c r="D654" s="11"/>
      <c r="E654" s="11"/>
      <c r="F654" s="11"/>
      <c r="G654" s="11"/>
      <c r="H654" s="11"/>
      <c r="I654" s="1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20"/>
      <c r="B655" s="11"/>
      <c r="C655" s="11"/>
      <c r="D655" s="11"/>
      <c r="E655" s="11"/>
      <c r="F655" s="11"/>
      <c r="G655" s="11"/>
      <c r="H655" s="11"/>
      <c r="I655" s="11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20"/>
      <c r="B656" s="11"/>
      <c r="C656" s="11"/>
      <c r="D656" s="11"/>
      <c r="E656" s="11"/>
      <c r="F656" s="11"/>
      <c r="G656" s="11"/>
      <c r="H656" s="11"/>
      <c r="I656" s="11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20"/>
      <c r="B657" s="11"/>
      <c r="C657" s="11"/>
      <c r="D657" s="11"/>
      <c r="E657" s="11"/>
      <c r="F657" s="11"/>
      <c r="G657" s="11"/>
      <c r="H657" s="11"/>
      <c r="I657" s="1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20"/>
      <c r="B658" s="11"/>
      <c r="C658" s="11"/>
      <c r="D658" s="11"/>
      <c r="E658" s="11"/>
      <c r="F658" s="11"/>
      <c r="G658" s="11"/>
      <c r="H658" s="11"/>
      <c r="I658" s="1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20"/>
      <c r="B659" s="11"/>
      <c r="C659" s="11"/>
      <c r="D659" s="11"/>
      <c r="E659" s="11"/>
      <c r="F659" s="11"/>
      <c r="G659" s="11"/>
      <c r="H659" s="11"/>
      <c r="I659" s="1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20"/>
      <c r="B660" s="11"/>
      <c r="C660" s="11"/>
      <c r="D660" s="11"/>
      <c r="E660" s="11"/>
      <c r="F660" s="11"/>
      <c r="G660" s="11"/>
      <c r="H660" s="11"/>
      <c r="I660" s="1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20"/>
      <c r="B661" s="11"/>
      <c r="C661" s="11"/>
      <c r="D661" s="11"/>
      <c r="E661" s="11"/>
      <c r="F661" s="11"/>
      <c r="G661" s="11"/>
      <c r="H661" s="11"/>
      <c r="I661" s="1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20"/>
      <c r="B662" s="11"/>
      <c r="C662" s="11"/>
      <c r="D662" s="11"/>
      <c r="E662" s="11"/>
      <c r="F662" s="11"/>
      <c r="G662" s="11"/>
      <c r="H662" s="11"/>
      <c r="I662" s="11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20"/>
      <c r="B663" s="11"/>
      <c r="C663" s="11"/>
      <c r="D663" s="11"/>
      <c r="E663" s="11"/>
      <c r="F663" s="11"/>
      <c r="G663" s="11"/>
      <c r="H663" s="11"/>
      <c r="I663" s="11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20"/>
      <c r="B664" s="11"/>
      <c r="C664" s="11"/>
      <c r="D664" s="11"/>
      <c r="E664" s="11"/>
      <c r="F664" s="11"/>
      <c r="G664" s="11"/>
      <c r="H664" s="11"/>
      <c r="I664" s="11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20"/>
      <c r="B665" s="11"/>
      <c r="C665" s="11"/>
      <c r="D665" s="11"/>
      <c r="E665" s="11"/>
      <c r="F665" s="11"/>
      <c r="G665" s="11"/>
      <c r="H665" s="11"/>
      <c r="I665" s="1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20"/>
      <c r="B666" s="11"/>
      <c r="C666" s="11"/>
      <c r="D666" s="11"/>
      <c r="E666" s="11"/>
      <c r="F666" s="11"/>
      <c r="G666" s="11"/>
      <c r="H666" s="11"/>
      <c r="I666" s="1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20"/>
      <c r="B667" s="11"/>
      <c r="C667" s="11"/>
      <c r="D667" s="11"/>
      <c r="E667" s="11"/>
      <c r="F667" s="11"/>
      <c r="G667" s="11"/>
      <c r="H667" s="11"/>
      <c r="I667" s="1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20"/>
      <c r="B668" s="11"/>
      <c r="C668" s="11"/>
      <c r="D668" s="11"/>
      <c r="E668" s="11"/>
      <c r="F668" s="11"/>
      <c r="G668" s="11"/>
      <c r="H668" s="11"/>
      <c r="I668" s="1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20"/>
      <c r="B669" s="11"/>
      <c r="C669" s="11"/>
      <c r="D669" s="11"/>
      <c r="E669" s="11"/>
      <c r="F669" s="11"/>
      <c r="G669" s="11"/>
      <c r="H669" s="11"/>
      <c r="I669" s="11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20"/>
      <c r="B670" s="11"/>
      <c r="C670" s="11"/>
      <c r="D670" s="11"/>
      <c r="E670" s="11"/>
      <c r="F670" s="11"/>
      <c r="G670" s="11"/>
      <c r="H670" s="11"/>
      <c r="I670" s="11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20"/>
      <c r="B671" s="11"/>
      <c r="C671" s="11"/>
      <c r="D671" s="11"/>
      <c r="E671" s="11"/>
      <c r="F671" s="11"/>
      <c r="G671" s="11"/>
      <c r="H671" s="11"/>
      <c r="I671" s="1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20"/>
      <c r="B672" s="11"/>
      <c r="C672" s="11"/>
      <c r="D672" s="11"/>
      <c r="E672" s="11"/>
      <c r="F672" s="11"/>
      <c r="G672" s="11"/>
      <c r="H672" s="11"/>
      <c r="I672" s="1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20"/>
      <c r="B673" s="11"/>
      <c r="C673" s="11"/>
      <c r="D673" s="11"/>
      <c r="E673" s="11"/>
      <c r="F673" s="11"/>
      <c r="G673" s="11"/>
      <c r="H673" s="11"/>
      <c r="I673" s="1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20"/>
      <c r="B674" s="11"/>
      <c r="C674" s="11"/>
      <c r="D674" s="11"/>
      <c r="E674" s="11"/>
      <c r="F674" s="11"/>
      <c r="G674" s="11"/>
      <c r="H674" s="11"/>
      <c r="I674" s="11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20"/>
      <c r="B675" s="11"/>
      <c r="C675" s="11"/>
      <c r="D675" s="11"/>
      <c r="E675" s="11"/>
      <c r="F675" s="11"/>
      <c r="G675" s="11"/>
      <c r="H675" s="11"/>
      <c r="I675" s="1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20"/>
      <c r="B676" s="11"/>
      <c r="C676" s="11"/>
      <c r="D676" s="11"/>
      <c r="E676" s="11"/>
      <c r="F676" s="11"/>
      <c r="G676" s="11"/>
      <c r="H676" s="11"/>
      <c r="I676" s="1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20"/>
      <c r="B677" s="11"/>
      <c r="C677" s="11"/>
      <c r="D677" s="11"/>
      <c r="E677" s="11"/>
      <c r="F677" s="11"/>
      <c r="G677" s="11"/>
      <c r="H677" s="11"/>
      <c r="I677" s="11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20"/>
      <c r="B678" s="11"/>
      <c r="C678" s="11"/>
      <c r="D678" s="11"/>
      <c r="E678" s="11"/>
      <c r="F678" s="11"/>
      <c r="G678" s="11"/>
      <c r="H678" s="11"/>
      <c r="I678" s="1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20"/>
      <c r="B679" s="11"/>
      <c r="C679" s="11"/>
      <c r="D679" s="11"/>
      <c r="E679" s="11"/>
      <c r="F679" s="11"/>
      <c r="G679" s="11"/>
      <c r="H679" s="11"/>
      <c r="I679" s="1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20"/>
      <c r="B680" s="11"/>
      <c r="C680" s="11"/>
      <c r="D680" s="11"/>
      <c r="E680" s="11"/>
      <c r="F680" s="11"/>
      <c r="G680" s="11"/>
      <c r="H680" s="11"/>
      <c r="I680" s="1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20"/>
      <c r="B681" s="11"/>
      <c r="C681" s="11"/>
      <c r="D681" s="11"/>
      <c r="E681" s="11"/>
      <c r="F681" s="11"/>
      <c r="G681" s="11"/>
      <c r="H681" s="11"/>
      <c r="I681" s="11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20"/>
      <c r="B682" s="11"/>
      <c r="C682" s="11"/>
      <c r="D682" s="11"/>
      <c r="E682" s="11"/>
      <c r="F682" s="11"/>
      <c r="G682" s="11"/>
      <c r="H682" s="11"/>
      <c r="I682" s="11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20"/>
      <c r="B683" s="11"/>
      <c r="C683" s="11"/>
      <c r="D683" s="11"/>
      <c r="E683" s="11"/>
      <c r="F683" s="11"/>
      <c r="G683" s="11"/>
      <c r="H683" s="11"/>
      <c r="I683" s="1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20"/>
      <c r="B684" s="11"/>
      <c r="C684" s="11"/>
      <c r="D684" s="11"/>
      <c r="E684" s="11"/>
      <c r="F684" s="11"/>
      <c r="G684" s="11"/>
      <c r="H684" s="11"/>
      <c r="I684" s="11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20"/>
      <c r="B685" s="11"/>
      <c r="C685" s="11"/>
      <c r="D685" s="11"/>
      <c r="E685" s="11"/>
      <c r="F685" s="11"/>
      <c r="G685" s="11"/>
      <c r="H685" s="11"/>
      <c r="I685" s="1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20"/>
      <c r="B686" s="11"/>
      <c r="C686" s="11"/>
      <c r="D686" s="11"/>
      <c r="E686" s="11"/>
      <c r="F686" s="11"/>
      <c r="G686" s="11"/>
      <c r="H686" s="11"/>
      <c r="I686" s="1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20"/>
      <c r="B687" s="11"/>
      <c r="C687" s="11"/>
      <c r="D687" s="11"/>
      <c r="E687" s="11"/>
      <c r="F687" s="11"/>
      <c r="G687" s="11"/>
      <c r="H687" s="11"/>
      <c r="I687" s="1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20"/>
      <c r="B688" s="11"/>
      <c r="C688" s="11"/>
      <c r="D688" s="11"/>
      <c r="E688" s="11"/>
      <c r="F688" s="11"/>
      <c r="G688" s="11"/>
      <c r="H688" s="11"/>
      <c r="I688" s="11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20"/>
      <c r="B689" s="11"/>
      <c r="C689" s="11"/>
      <c r="D689" s="11"/>
      <c r="E689" s="11"/>
      <c r="F689" s="11"/>
      <c r="G689" s="11"/>
      <c r="H689" s="11"/>
      <c r="I689" s="11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20"/>
      <c r="B690" s="11"/>
      <c r="C690" s="11"/>
      <c r="D690" s="11"/>
      <c r="E690" s="11"/>
      <c r="F690" s="11"/>
      <c r="G690" s="11"/>
      <c r="H690" s="11"/>
      <c r="I690" s="1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20"/>
      <c r="B691" s="11"/>
      <c r="C691" s="11"/>
      <c r="D691" s="11"/>
      <c r="E691" s="11"/>
      <c r="F691" s="11"/>
      <c r="G691" s="11"/>
      <c r="H691" s="11"/>
      <c r="I691" s="1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20"/>
      <c r="B692" s="11"/>
      <c r="C692" s="11"/>
      <c r="D692" s="11"/>
      <c r="E692" s="11"/>
      <c r="F692" s="11"/>
      <c r="G692" s="11"/>
      <c r="H692" s="11"/>
      <c r="I692" s="1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20"/>
      <c r="B693" s="11"/>
      <c r="C693" s="11"/>
      <c r="D693" s="11"/>
      <c r="E693" s="11"/>
      <c r="F693" s="11"/>
      <c r="G693" s="11"/>
      <c r="H693" s="11"/>
      <c r="I693" s="1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20"/>
      <c r="B694" s="11"/>
      <c r="C694" s="11"/>
      <c r="D694" s="11"/>
      <c r="E694" s="11"/>
      <c r="F694" s="11"/>
      <c r="G694" s="11"/>
      <c r="H694" s="11"/>
      <c r="I694" s="1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20"/>
      <c r="B695" s="11"/>
      <c r="C695" s="11"/>
      <c r="D695" s="11"/>
      <c r="E695" s="11"/>
      <c r="F695" s="11"/>
      <c r="G695" s="11"/>
      <c r="H695" s="11"/>
      <c r="I695" s="11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20"/>
      <c r="B696" s="11"/>
      <c r="C696" s="11"/>
      <c r="D696" s="11"/>
      <c r="E696" s="11"/>
      <c r="F696" s="11"/>
      <c r="G696" s="11"/>
      <c r="H696" s="11"/>
      <c r="I696" s="1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20"/>
      <c r="B697" s="11"/>
      <c r="C697" s="11"/>
      <c r="D697" s="11"/>
      <c r="E697" s="11"/>
      <c r="F697" s="11"/>
      <c r="G697" s="11"/>
      <c r="H697" s="11"/>
      <c r="I697" s="1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20"/>
      <c r="B698" s="11"/>
      <c r="C698" s="11"/>
      <c r="D698" s="11"/>
      <c r="E698" s="11"/>
      <c r="F698" s="11"/>
      <c r="G698" s="11"/>
      <c r="H698" s="11"/>
      <c r="I698" s="1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20"/>
      <c r="B699" s="11"/>
      <c r="C699" s="11"/>
      <c r="D699" s="11"/>
      <c r="E699" s="11"/>
      <c r="F699" s="11"/>
      <c r="G699" s="11"/>
      <c r="H699" s="11"/>
      <c r="I699" s="1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20"/>
      <c r="B700" s="11"/>
      <c r="C700" s="11"/>
      <c r="D700" s="11"/>
      <c r="E700" s="11"/>
      <c r="F700" s="11"/>
      <c r="G700" s="11"/>
      <c r="H700" s="11"/>
      <c r="I700" s="11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20"/>
      <c r="B701" s="11"/>
      <c r="C701" s="11"/>
      <c r="D701" s="11"/>
      <c r="E701" s="11"/>
      <c r="F701" s="11"/>
      <c r="G701" s="11"/>
      <c r="H701" s="11"/>
      <c r="I701" s="1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20"/>
      <c r="B702" s="11"/>
      <c r="C702" s="11"/>
      <c r="D702" s="11"/>
      <c r="E702" s="11"/>
      <c r="F702" s="11"/>
      <c r="G702" s="11"/>
      <c r="H702" s="11"/>
      <c r="I702" s="11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20"/>
      <c r="B703" s="11"/>
      <c r="C703" s="11"/>
      <c r="D703" s="11"/>
      <c r="E703" s="11"/>
      <c r="F703" s="11"/>
      <c r="G703" s="11"/>
      <c r="H703" s="11"/>
      <c r="I703" s="11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20"/>
      <c r="B704" s="11"/>
      <c r="C704" s="11"/>
      <c r="D704" s="11"/>
      <c r="E704" s="11"/>
      <c r="F704" s="11"/>
      <c r="G704" s="11"/>
      <c r="H704" s="11"/>
      <c r="I704" s="11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20"/>
      <c r="B705" s="11"/>
      <c r="C705" s="11"/>
      <c r="D705" s="11"/>
      <c r="E705" s="11"/>
      <c r="F705" s="11"/>
      <c r="G705" s="11"/>
      <c r="H705" s="11"/>
      <c r="I705" s="1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20"/>
      <c r="B706" s="11"/>
      <c r="C706" s="11"/>
      <c r="D706" s="11"/>
      <c r="E706" s="11"/>
      <c r="F706" s="11"/>
      <c r="G706" s="11"/>
      <c r="H706" s="11"/>
      <c r="I706" s="1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20"/>
      <c r="B707" s="11"/>
      <c r="C707" s="11"/>
      <c r="D707" s="11"/>
      <c r="E707" s="11"/>
      <c r="F707" s="11"/>
      <c r="G707" s="11"/>
      <c r="H707" s="11"/>
      <c r="I707" s="1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20"/>
      <c r="B708" s="11"/>
      <c r="C708" s="11"/>
      <c r="D708" s="11"/>
      <c r="E708" s="11"/>
      <c r="F708" s="11"/>
      <c r="G708" s="11"/>
      <c r="H708" s="11"/>
      <c r="I708" s="1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20"/>
      <c r="B709" s="11"/>
      <c r="C709" s="11"/>
      <c r="D709" s="11"/>
      <c r="E709" s="11"/>
      <c r="F709" s="11"/>
      <c r="G709" s="11"/>
      <c r="H709" s="11"/>
      <c r="I709" s="1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20"/>
      <c r="B710" s="11"/>
      <c r="C710" s="11"/>
      <c r="D710" s="11"/>
      <c r="E710" s="11"/>
      <c r="F710" s="11"/>
      <c r="G710" s="11"/>
      <c r="H710" s="11"/>
      <c r="I710" s="11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20"/>
      <c r="B711" s="11"/>
      <c r="C711" s="11"/>
      <c r="D711" s="11"/>
      <c r="E711" s="11"/>
      <c r="F711" s="11"/>
      <c r="G711" s="11"/>
      <c r="H711" s="11"/>
      <c r="I711" s="1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20"/>
      <c r="B712" s="11"/>
      <c r="C712" s="11"/>
      <c r="D712" s="11"/>
      <c r="E712" s="11"/>
      <c r="F712" s="11"/>
      <c r="G712" s="11"/>
      <c r="H712" s="11"/>
      <c r="I712" s="11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20"/>
      <c r="B713" s="11"/>
      <c r="C713" s="11"/>
      <c r="D713" s="11"/>
      <c r="E713" s="11"/>
      <c r="F713" s="11"/>
      <c r="G713" s="11"/>
      <c r="H713" s="11"/>
      <c r="I713" s="1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20"/>
      <c r="B714" s="11"/>
      <c r="C714" s="11"/>
      <c r="D714" s="11"/>
      <c r="E714" s="11"/>
      <c r="F714" s="11"/>
      <c r="G714" s="11"/>
      <c r="H714" s="11"/>
      <c r="I714" s="11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20"/>
      <c r="B715" s="11"/>
      <c r="C715" s="11"/>
      <c r="D715" s="11"/>
      <c r="E715" s="11"/>
      <c r="F715" s="11"/>
      <c r="G715" s="11"/>
      <c r="H715" s="11"/>
      <c r="I715" s="1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20"/>
      <c r="B716" s="11"/>
      <c r="C716" s="11"/>
      <c r="D716" s="11"/>
      <c r="E716" s="11"/>
      <c r="F716" s="11"/>
      <c r="G716" s="11"/>
      <c r="H716" s="11"/>
      <c r="I716" s="1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20"/>
      <c r="B717" s="11"/>
      <c r="C717" s="11"/>
      <c r="D717" s="11"/>
      <c r="E717" s="11"/>
      <c r="F717" s="11"/>
      <c r="G717" s="11"/>
      <c r="H717" s="11"/>
      <c r="I717" s="1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20"/>
      <c r="B718" s="11"/>
      <c r="C718" s="11"/>
      <c r="D718" s="11"/>
      <c r="E718" s="11"/>
      <c r="F718" s="11"/>
      <c r="G718" s="11"/>
      <c r="H718" s="11"/>
      <c r="I718" s="1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20"/>
      <c r="B719" s="11"/>
      <c r="C719" s="11"/>
      <c r="D719" s="11"/>
      <c r="E719" s="11"/>
      <c r="F719" s="11"/>
      <c r="G719" s="11"/>
      <c r="H719" s="11"/>
      <c r="I719" s="1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20"/>
      <c r="B720" s="11"/>
      <c r="C720" s="11"/>
      <c r="D720" s="11"/>
      <c r="E720" s="11"/>
      <c r="F720" s="11"/>
      <c r="G720" s="11"/>
      <c r="H720" s="11"/>
      <c r="I720" s="1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20"/>
      <c r="B721" s="11"/>
      <c r="C721" s="11"/>
      <c r="D721" s="11"/>
      <c r="E721" s="11"/>
      <c r="F721" s="11"/>
      <c r="G721" s="11"/>
      <c r="H721" s="11"/>
      <c r="I721" s="1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20"/>
      <c r="B722" s="11"/>
      <c r="C722" s="11"/>
      <c r="D722" s="11"/>
      <c r="E722" s="11"/>
      <c r="F722" s="11"/>
      <c r="G722" s="11"/>
      <c r="H722" s="11"/>
      <c r="I722" s="11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20"/>
      <c r="B723" s="11"/>
      <c r="C723" s="11"/>
      <c r="D723" s="11"/>
      <c r="E723" s="11"/>
      <c r="F723" s="11"/>
      <c r="G723" s="11"/>
      <c r="H723" s="11"/>
      <c r="I723" s="1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20"/>
      <c r="B724" s="11"/>
      <c r="C724" s="11"/>
      <c r="D724" s="11"/>
      <c r="E724" s="11"/>
      <c r="F724" s="11"/>
      <c r="G724" s="11"/>
      <c r="H724" s="11"/>
      <c r="I724" s="1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20"/>
      <c r="B725" s="11"/>
      <c r="C725" s="11"/>
      <c r="D725" s="11"/>
      <c r="E725" s="11"/>
      <c r="F725" s="11"/>
      <c r="G725" s="11"/>
      <c r="H725" s="11"/>
      <c r="I725" s="11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20"/>
      <c r="B726" s="11"/>
      <c r="C726" s="11"/>
      <c r="D726" s="11"/>
      <c r="E726" s="11"/>
      <c r="F726" s="11"/>
      <c r="G726" s="11"/>
      <c r="H726" s="11"/>
      <c r="I726" s="1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20"/>
      <c r="B727" s="11"/>
      <c r="C727" s="11"/>
      <c r="D727" s="11"/>
      <c r="E727" s="11"/>
      <c r="F727" s="11"/>
      <c r="G727" s="11"/>
      <c r="H727" s="11"/>
      <c r="I727" s="1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20"/>
      <c r="B728" s="11"/>
      <c r="C728" s="11"/>
      <c r="D728" s="11"/>
      <c r="E728" s="11"/>
      <c r="F728" s="11"/>
      <c r="G728" s="11"/>
      <c r="H728" s="11"/>
      <c r="I728" s="1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20"/>
      <c r="B729" s="11"/>
      <c r="C729" s="11"/>
      <c r="D729" s="11"/>
      <c r="E729" s="11"/>
      <c r="F729" s="11"/>
      <c r="G729" s="11"/>
      <c r="H729" s="11"/>
      <c r="I729" s="1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20"/>
      <c r="B730" s="11"/>
      <c r="C730" s="11"/>
      <c r="D730" s="11"/>
      <c r="E730" s="11"/>
      <c r="F730" s="11"/>
      <c r="G730" s="11"/>
      <c r="H730" s="11"/>
      <c r="I730" s="1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20"/>
      <c r="B731" s="11"/>
      <c r="C731" s="11"/>
      <c r="D731" s="11"/>
      <c r="E731" s="11"/>
      <c r="F731" s="11"/>
      <c r="G731" s="11"/>
      <c r="H731" s="11"/>
      <c r="I731" s="1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20"/>
      <c r="B732" s="11"/>
      <c r="C732" s="11"/>
      <c r="D732" s="11"/>
      <c r="E732" s="11"/>
      <c r="F732" s="11"/>
      <c r="G732" s="11"/>
      <c r="H732" s="11"/>
      <c r="I732" s="1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20"/>
      <c r="B733" s="11"/>
      <c r="C733" s="11"/>
      <c r="D733" s="11"/>
      <c r="E733" s="11"/>
      <c r="F733" s="11"/>
      <c r="G733" s="11"/>
      <c r="H733" s="11"/>
      <c r="I733" s="11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20"/>
      <c r="B734" s="11"/>
      <c r="C734" s="11"/>
      <c r="D734" s="11"/>
      <c r="E734" s="11"/>
      <c r="F734" s="11"/>
      <c r="G734" s="11"/>
      <c r="H734" s="11"/>
      <c r="I734" s="1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20"/>
      <c r="B735" s="11"/>
      <c r="C735" s="11"/>
      <c r="D735" s="11"/>
      <c r="E735" s="11"/>
      <c r="F735" s="11"/>
      <c r="G735" s="11"/>
      <c r="H735" s="11"/>
      <c r="I735" s="1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20"/>
      <c r="B736" s="11"/>
      <c r="C736" s="11"/>
      <c r="D736" s="11"/>
      <c r="E736" s="11"/>
      <c r="F736" s="11"/>
      <c r="G736" s="11"/>
      <c r="H736" s="11"/>
      <c r="I736" s="11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20"/>
      <c r="B737" s="11"/>
      <c r="C737" s="11"/>
      <c r="D737" s="11"/>
      <c r="E737" s="11"/>
      <c r="F737" s="11"/>
      <c r="G737" s="11"/>
      <c r="H737" s="11"/>
      <c r="I737" s="1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20"/>
      <c r="B738" s="11"/>
      <c r="C738" s="11"/>
      <c r="D738" s="11"/>
      <c r="E738" s="11"/>
      <c r="F738" s="11"/>
      <c r="G738" s="11"/>
      <c r="H738" s="11"/>
      <c r="I738" s="1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20"/>
      <c r="B739" s="11"/>
      <c r="C739" s="11"/>
      <c r="D739" s="11"/>
      <c r="E739" s="11"/>
      <c r="F739" s="11"/>
      <c r="G739" s="11"/>
      <c r="H739" s="11"/>
      <c r="I739" s="1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20"/>
      <c r="B740" s="11"/>
      <c r="C740" s="11"/>
      <c r="D740" s="11"/>
      <c r="E740" s="11"/>
      <c r="F740" s="11"/>
      <c r="G740" s="11"/>
      <c r="H740" s="11"/>
      <c r="I740" s="1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20"/>
      <c r="B741" s="11"/>
      <c r="C741" s="11"/>
      <c r="D741" s="11"/>
      <c r="E741" s="11"/>
      <c r="F741" s="11"/>
      <c r="G741" s="11"/>
      <c r="H741" s="11"/>
      <c r="I741" s="1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20"/>
      <c r="B742" s="11"/>
      <c r="C742" s="11"/>
      <c r="D742" s="11"/>
      <c r="E742" s="11"/>
      <c r="F742" s="11"/>
      <c r="G742" s="11"/>
      <c r="H742" s="11"/>
      <c r="I742" s="1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20"/>
      <c r="B743" s="11"/>
      <c r="C743" s="11"/>
      <c r="D743" s="11"/>
      <c r="E743" s="11"/>
      <c r="F743" s="11"/>
      <c r="G743" s="11"/>
      <c r="H743" s="11"/>
      <c r="I743" s="1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20"/>
      <c r="B744" s="11"/>
      <c r="C744" s="11"/>
      <c r="D744" s="11"/>
      <c r="E744" s="11"/>
      <c r="F744" s="11"/>
      <c r="G744" s="11"/>
      <c r="H744" s="11"/>
      <c r="I744" s="11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20"/>
      <c r="B745" s="11"/>
      <c r="C745" s="11"/>
      <c r="D745" s="11"/>
      <c r="E745" s="11"/>
      <c r="F745" s="11"/>
      <c r="G745" s="11"/>
      <c r="H745" s="11"/>
      <c r="I745" s="1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20"/>
      <c r="B746" s="11"/>
      <c r="C746" s="11"/>
      <c r="D746" s="11"/>
      <c r="E746" s="11"/>
      <c r="F746" s="11"/>
      <c r="G746" s="11"/>
      <c r="H746" s="11"/>
      <c r="I746" s="1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20"/>
      <c r="B747" s="11"/>
      <c r="C747" s="11"/>
      <c r="D747" s="11"/>
      <c r="E747" s="11"/>
      <c r="F747" s="11"/>
      <c r="G747" s="11"/>
      <c r="H747" s="11"/>
      <c r="I747" s="1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20"/>
      <c r="B748" s="11"/>
      <c r="C748" s="11"/>
      <c r="D748" s="11"/>
      <c r="E748" s="11"/>
      <c r="F748" s="11"/>
      <c r="G748" s="11"/>
      <c r="H748" s="11"/>
      <c r="I748" s="1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20"/>
      <c r="B749" s="11"/>
      <c r="C749" s="11"/>
      <c r="D749" s="11"/>
      <c r="E749" s="11"/>
      <c r="F749" s="11"/>
      <c r="G749" s="11"/>
      <c r="H749" s="11"/>
      <c r="I749" s="11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20"/>
      <c r="B750" s="11"/>
      <c r="C750" s="11"/>
      <c r="D750" s="11"/>
      <c r="E750" s="11"/>
      <c r="F750" s="11"/>
      <c r="G750" s="11"/>
      <c r="H750" s="11"/>
      <c r="I750" s="1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20"/>
      <c r="B751" s="11"/>
      <c r="C751" s="11"/>
      <c r="D751" s="11"/>
      <c r="E751" s="11"/>
      <c r="F751" s="11"/>
      <c r="G751" s="11"/>
      <c r="H751" s="11"/>
      <c r="I751" s="1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20"/>
      <c r="B752" s="11"/>
      <c r="C752" s="11"/>
      <c r="D752" s="11"/>
      <c r="E752" s="11"/>
      <c r="F752" s="11"/>
      <c r="G752" s="11"/>
      <c r="H752" s="11"/>
      <c r="I752" s="1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20"/>
      <c r="B753" s="11"/>
      <c r="C753" s="11"/>
      <c r="D753" s="11"/>
      <c r="E753" s="11"/>
      <c r="F753" s="11"/>
      <c r="G753" s="11"/>
      <c r="H753" s="11"/>
      <c r="I753" s="1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20"/>
      <c r="B754" s="11"/>
      <c r="C754" s="11"/>
      <c r="D754" s="11"/>
      <c r="E754" s="11"/>
      <c r="F754" s="11"/>
      <c r="G754" s="11"/>
      <c r="H754" s="11"/>
      <c r="I754" s="1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20"/>
      <c r="B755" s="11"/>
      <c r="C755" s="11"/>
      <c r="D755" s="11"/>
      <c r="E755" s="11"/>
      <c r="F755" s="11"/>
      <c r="G755" s="11"/>
      <c r="H755" s="11"/>
      <c r="I755" s="1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20"/>
      <c r="B756" s="11"/>
      <c r="C756" s="11"/>
      <c r="D756" s="11"/>
      <c r="E756" s="11"/>
      <c r="F756" s="11"/>
      <c r="G756" s="11"/>
      <c r="H756" s="11"/>
      <c r="I756" s="1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20"/>
      <c r="B757" s="11"/>
      <c r="C757" s="11"/>
      <c r="D757" s="11"/>
      <c r="E757" s="11"/>
      <c r="F757" s="11"/>
      <c r="G757" s="11"/>
      <c r="H757" s="11"/>
      <c r="I757" s="11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20"/>
      <c r="B758" s="11"/>
      <c r="C758" s="11"/>
      <c r="D758" s="11"/>
      <c r="E758" s="11"/>
      <c r="F758" s="11"/>
      <c r="G758" s="11"/>
      <c r="H758" s="11"/>
      <c r="I758" s="1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20"/>
      <c r="B759" s="11"/>
      <c r="C759" s="11"/>
      <c r="D759" s="11"/>
      <c r="E759" s="11"/>
      <c r="F759" s="11"/>
      <c r="G759" s="11"/>
      <c r="H759" s="11"/>
      <c r="I759" s="1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20"/>
      <c r="B760" s="11"/>
      <c r="C760" s="11"/>
      <c r="D760" s="11"/>
      <c r="E760" s="11"/>
      <c r="F760" s="11"/>
      <c r="G760" s="11"/>
      <c r="H760" s="11"/>
      <c r="I760" s="1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20"/>
      <c r="B761" s="11"/>
      <c r="C761" s="11"/>
      <c r="D761" s="11"/>
      <c r="E761" s="11"/>
      <c r="F761" s="11"/>
      <c r="G761" s="11"/>
      <c r="H761" s="11"/>
      <c r="I761" s="11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20"/>
      <c r="B762" s="11"/>
      <c r="C762" s="11"/>
      <c r="D762" s="11"/>
      <c r="E762" s="11"/>
      <c r="F762" s="11"/>
      <c r="G762" s="11"/>
      <c r="H762" s="11"/>
      <c r="I762" s="1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20"/>
      <c r="B763" s="11"/>
      <c r="C763" s="11"/>
      <c r="D763" s="11"/>
      <c r="E763" s="11"/>
      <c r="F763" s="11"/>
      <c r="G763" s="11"/>
      <c r="H763" s="11"/>
      <c r="I763" s="1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20"/>
      <c r="B764" s="11"/>
      <c r="C764" s="11"/>
      <c r="D764" s="11"/>
      <c r="E764" s="11"/>
      <c r="F764" s="11"/>
      <c r="G764" s="11"/>
      <c r="H764" s="11"/>
      <c r="I764" s="1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20"/>
      <c r="B765" s="11"/>
      <c r="C765" s="11"/>
      <c r="D765" s="11"/>
      <c r="E765" s="11"/>
      <c r="F765" s="11"/>
      <c r="G765" s="11"/>
      <c r="H765" s="11"/>
      <c r="I765" s="11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20"/>
      <c r="B766" s="11"/>
      <c r="C766" s="11"/>
      <c r="D766" s="11"/>
      <c r="E766" s="11"/>
      <c r="F766" s="11"/>
      <c r="G766" s="11"/>
      <c r="H766" s="11"/>
      <c r="I766" s="1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20"/>
      <c r="B767" s="11"/>
      <c r="C767" s="11"/>
      <c r="D767" s="11"/>
      <c r="E767" s="11"/>
      <c r="F767" s="11"/>
      <c r="G767" s="11"/>
      <c r="H767" s="11"/>
      <c r="I767" s="1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20"/>
      <c r="B768" s="11"/>
      <c r="C768" s="11"/>
      <c r="D768" s="11"/>
      <c r="E768" s="11"/>
      <c r="F768" s="11"/>
      <c r="G768" s="11"/>
      <c r="H768" s="11"/>
      <c r="I768" s="1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20"/>
      <c r="B769" s="11"/>
      <c r="C769" s="11"/>
      <c r="D769" s="11"/>
      <c r="E769" s="11"/>
      <c r="F769" s="11"/>
      <c r="G769" s="11"/>
      <c r="H769" s="11"/>
      <c r="I769" s="11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20"/>
      <c r="B770" s="11"/>
      <c r="C770" s="11"/>
      <c r="D770" s="11"/>
      <c r="E770" s="11"/>
      <c r="F770" s="11"/>
      <c r="G770" s="11"/>
      <c r="H770" s="11"/>
      <c r="I770" s="1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20"/>
      <c r="B771" s="11"/>
      <c r="C771" s="11"/>
      <c r="D771" s="11"/>
      <c r="E771" s="11"/>
      <c r="F771" s="11"/>
      <c r="G771" s="11"/>
      <c r="H771" s="11"/>
      <c r="I771" s="1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20"/>
      <c r="B772" s="11"/>
      <c r="C772" s="11"/>
      <c r="D772" s="11"/>
      <c r="E772" s="11"/>
      <c r="F772" s="11"/>
      <c r="G772" s="11"/>
      <c r="H772" s="11"/>
      <c r="I772" s="1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20"/>
      <c r="B773" s="11"/>
      <c r="C773" s="11"/>
      <c r="D773" s="11"/>
      <c r="E773" s="11"/>
      <c r="F773" s="11"/>
      <c r="G773" s="11"/>
      <c r="H773" s="11"/>
      <c r="I773" s="1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20"/>
      <c r="B774" s="11"/>
      <c r="C774" s="11"/>
      <c r="D774" s="11"/>
      <c r="E774" s="11"/>
      <c r="F774" s="11"/>
      <c r="G774" s="11"/>
      <c r="H774" s="11"/>
      <c r="I774" s="1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20"/>
      <c r="B775" s="11"/>
      <c r="C775" s="11"/>
      <c r="D775" s="11"/>
      <c r="E775" s="11"/>
      <c r="F775" s="11"/>
      <c r="G775" s="11"/>
      <c r="H775" s="11"/>
      <c r="I775" s="1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20"/>
      <c r="B776" s="11"/>
      <c r="C776" s="11"/>
      <c r="D776" s="11"/>
      <c r="E776" s="11"/>
      <c r="F776" s="11"/>
      <c r="G776" s="11"/>
      <c r="H776" s="11"/>
      <c r="I776" s="1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20"/>
      <c r="B777" s="11"/>
      <c r="C777" s="11"/>
      <c r="D777" s="11"/>
      <c r="E777" s="11"/>
      <c r="F777" s="11"/>
      <c r="G777" s="11"/>
      <c r="H777" s="11"/>
      <c r="I777" s="1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20"/>
      <c r="B778" s="11"/>
      <c r="C778" s="11"/>
      <c r="D778" s="11"/>
      <c r="E778" s="11"/>
      <c r="F778" s="11"/>
      <c r="G778" s="11"/>
      <c r="H778" s="11"/>
      <c r="I778" s="1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20"/>
      <c r="B779" s="11"/>
      <c r="C779" s="11"/>
      <c r="D779" s="11"/>
      <c r="E779" s="11"/>
      <c r="F779" s="11"/>
      <c r="G779" s="11"/>
      <c r="H779" s="11"/>
      <c r="I779" s="1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20"/>
      <c r="B780" s="11"/>
      <c r="C780" s="11"/>
      <c r="D780" s="11"/>
      <c r="E780" s="11"/>
      <c r="F780" s="11"/>
      <c r="G780" s="11"/>
      <c r="H780" s="11"/>
      <c r="I780" s="11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20"/>
      <c r="B781" s="11"/>
      <c r="C781" s="11"/>
      <c r="D781" s="11"/>
      <c r="E781" s="11"/>
      <c r="F781" s="11"/>
      <c r="G781" s="11"/>
      <c r="H781" s="11"/>
      <c r="I781" s="11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20"/>
      <c r="B782" s="11"/>
      <c r="C782" s="11"/>
      <c r="D782" s="11"/>
      <c r="E782" s="11"/>
      <c r="F782" s="11"/>
      <c r="G782" s="11"/>
      <c r="H782" s="11"/>
      <c r="I782" s="1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20"/>
      <c r="B783" s="11"/>
      <c r="C783" s="11"/>
      <c r="D783" s="11"/>
      <c r="E783" s="11"/>
      <c r="F783" s="11"/>
      <c r="G783" s="11"/>
      <c r="H783" s="11"/>
      <c r="I783" s="1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20"/>
      <c r="B784" s="11"/>
      <c r="C784" s="11"/>
      <c r="D784" s="11"/>
      <c r="E784" s="11"/>
      <c r="F784" s="11"/>
      <c r="G784" s="11"/>
      <c r="H784" s="11"/>
      <c r="I784" s="1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20"/>
      <c r="B785" s="11"/>
      <c r="C785" s="11"/>
      <c r="D785" s="11"/>
      <c r="E785" s="11"/>
      <c r="F785" s="11"/>
      <c r="G785" s="11"/>
      <c r="H785" s="11"/>
      <c r="I785" s="1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20"/>
      <c r="B786" s="11"/>
      <c r="C786" s="11"/>
      <c r="D786" s="11"/>
      <c r="E786" s="11"/>
      <c r="F786" s="11"/>
      <c r="G786" s="11"/>
      <c r="H786" s="11"/>
      <c r="I786" s="1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20"/>
      <c r="B787" s="11"/>
      <c r="C787" s="11"/>
      <c r="D787" s="11"/>
      <c r="E787" s="11"/>
      <c r="F787" s="11"/>
      <c r="G787" s="11"/>
      <c r="H787" s="11"/>
      <c r="I787" s="11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20"/>
      <c r="B788" s="11"/>
      <c r="C788" s="11"/>
      <c r="D788" s="11"/>
      <c r="E788" s="11"/>
      <c r="F788" s="11"/>
      <c r="G788" s="11"/>
      <c r="H788" s="11"/>
      <c r="I788" s="11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20"/>
      <c r="B789" s="11"/>
      <c r="C789" s="11"/>
      <c r="D789" s="11"/>
      <c r="E789" s="11"/>
      <c r="F789" s="11"/>
      <c r="G789" s="11"/>
      <c r="H789" s="11"/>
      <c r="I789" s="11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20"/>
      <c r="B790" s="11"/>
      <c r="C790" s="11"/>
      <c r="D790" s="11"/>
      <c r="E790" s="11"/>
      <c r="F790" s="11"/>
      <c r="G790" s="11"/>
      <c r="H790" s="11"/>
      <c r="I790" s="1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20"/>
      <c r="B791" s="11"/>
      <c r="C791" s="11"/>
      <c r="D791" s="11"/>
      <c r="E791" s="11"/>
      <c r="F791" s="11"/>
      <c r="G791" s="11"/>
      <c r="H791" s="11"/>
      <c r="I791" s="1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20"/>
      <c r="B792" s="11"/>
      <c r="C792" s="11"/>
      <c r="D792" s="11"/>
      <c r="E792" s="11"/>
      <c r="F792" s="11"/>
      <c r="G792" s="11"/>
      <c r="H792" s="11"/>
      <c r="I792" s="11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20"/>
      <c r="B793" s="11"/>
      <c r="C793" s="11"/>
      <c r="D793" s="11"/>
      <c r="E793" s="11"/>
      <c r="F793" s="11"/>
      <c r="G793" s="11"/>
      <c r="H793" s="11"/>
      <c r="I793" s="1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20"/>
      <c r="B794" s="11"/>
      <c r="C794" s="11"/>
      <c r="D794" s="11"/>
      <c r="E794" s="11"/>
      <c r="F794" s="11"/>
      <c r="G794" s="11"/>
      <c r="H794" s="11"/>
      <c r="I794" s="1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20"/>
      <c r="B795" s="11"/>
      <c r="C795" s="11"/>
      <c r="D795" s="11"/>
      <c r="E795" s="11"/>
      <c r="F795" s="11"/>
      <c r="G795" s="11"/>
      <c r="H795" s="11"/>
      <c r="I795" s="11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20"/>
      <c r="B796" s="11"/>
      <c r="C796" s="11"/>
      <c r="D796" s="11"/>
      <c r="E796" s="11"/>
      <c r="F796" s="11"/>
      <c r="G796" s="11"/>
      <c r="H796" s="11"/>
      <c r="I796" s="11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20"/>
      <c r="B797" s="11"/>
      <c r="C797" s="11"/>
      <c r="D797" s="11"/>
      <c r="E797" s="11"/>
      <c r="F797" s="11"/>
      <c r="G797" s="11"/>
      <c r="H797" s="11"/>
      <c r="I797" s="1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20"/>
      <c r="B798" s="11"/>
      <c r="C798" s="11"/>
      <c r="D798" s="11"/>
      <c r="E798" s="11"/>
      <c r="F798" s="11"/>
      <c r="G798" s="11"/>
      <c r="H798" s="11"/>
      <c r="I798" s="11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20"/>
      <c r="B799" s="11"/>
      <c r="C799" s="11"/>
      <c r="D799" s="11"/>
      <c r="E799" s="11"/>
      <c r="F799" s="11"/>
      <c r="G799" s="11"/>
      <c r="H799" s="11"/>
      <c r="I799" s="1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20"/>
      <c r="B800" s="11"/>
      <c r="C800" s="11"/>
      <c r="D800" s="11"/>
      <c r="E800" s="11"/>
      <c r="F800" s="11"/>
      <c r="G800" s="11"/>
      <c r="H800" s="11"/>
      <c r="I800" s="11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20"/>
      <c r="B801" s="11"/>
      <c r="C801" s="11"/>
      <c r="D801" s="11"/>
      <c r="E801" s="11"/>
      <c r="F801" s="11"/>
      <c r="G801" s="11"/>
      <c r="H801" s="11"/>
      <c r="I801" s="11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20"/>
      <c r="B802" s="11"/>
      <c r="C802" s="11"/>
      <c r="D802" s="11"/>
      <c r="E802" s="11"/>
      <c r="F802" s="11"/>
      <c r="G802" s="11"/>
      <c r="H802" s="11"/>
      <c r="I802" s="1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20"/>
      <c r="B803" s="11"/>
      <c r="C803" s="11"/>
      <c r="D803" s="11"/>
      <c r="E803" s="11"/>
      <c r="F803" s="11"/>
      <c r="G803" s="11"/>
      <c r="H803" s="11"/>
      <c r="I803" s="11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20"/>
      <c r="B804" s="11"/>
      <c r="C804" s="11"/>
      <c r="D804" s="11"/>
      <c r="E804" s="11"/>
      <c r="F804" s="11"/>
      <c r="G804" s="11"/>
      <c r="H804" s="11"/>
      <c r="I804" s="1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20"/>
      <c r="B805" s="11"/>
      <c r="C805" s="11"/>
      <c r="D805" s="11"/>
      <c r="E805" s="11"/>
      <c r="F805" s="11"/>
      <c r="G805" s="11"/>
      <c r="H805" s="11"/>
      <c r="I805" s="1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20"/>
      <c r="B806" s="11"/>
      <c r="C806" s="11"/>
      <c r="D806" s="11"/>
      <c r="E806" s="11"/>
      <c r="F806" s="11"/>
      <c r="G806" s="11"/>
      <c r="H806" s="11"/>
      <c r="I806" s="11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20"/>
      <c r="B807" s="11"/>
      <c r="C807" s="11"/>
      <c r="D807" s="11"/>
      <c r="E807" s="11"/>
      <c r="F807" s="11"/>
      <c r="G807" s="11"/>
      <c r="H807" s="11"/>
      <c r="I807" s="1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20"/>
      <c r="B808" s="11"/>
      <c r="C808" s="11"/>
      <c r="D808" s="11"/>
      <c r="E808" s="11"/>
      <c r="F808" s="11"/>
      <c r="G808" s="11"/>
      <c r="H808" s="11"/>
      <c r="I808" s="11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20"/>
      <c r="B809" s="11"/>
      <c r="C809" s="11"/>
      <c r="D809" s="11"/>
      <c r="E809" s="11"/>
      <c r="F809" s="11"/>
      <c r="G809" s="11"/>
      <c r="H809" s="11"/>
      <c r="I809" s="11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20"/>
      <c r="B810" s="11"/>
      <c r="C810" s="11"/>
      <c r="D810" s="11"/>
      <c r="E810" s="11"/>
      <c r="F810" s="11"/>
      <c r="G810" s="11"/>
      <c r="H810" s="11"/>
      <c r="I810" s="11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20"/>
      <c r="B811" s="11"/>
      <c r="C811" s="11"/>
      <c r="D811" s="11"/>
      <c r="E811" s="11"/>
      <c r="F811" s="11"/>
      <c r="G811" s="11"/>
      <c r="H811" s="11"/>
      <c r="I811" s="11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20"/>
      <c r="B812" s="11"/>
      <c r="C812" s="11"/>
      <c r="D812" s="11"/>
      <c r="E812" s="11"/>
      <c r="F812" s="11"/>
      <c r="G812" s="11"/>
      <c r="H812" s="11"/>
      <c r="I812" s="11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20"/>
      <c r="B813" s="11"/>
      <c r="C813" s="11"/>
      <c r="D813" s="11"/>
      <c r="E813" s="11"/>
      <c r="F813" s="11"/>
      <c r="G813" s="11"/>
      <c r="H813" s="11"/>
      <c r="I813" s="11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20"/>
      <c r="B814" s="11"/>
      <c r="C814" s="11"/>
      <c r="D814" s="11"/>
      <c r="E814" s="11"/>
      <c r="F814" s="11"/>
      <c r="G814" s="11"/>
      <c r="H814" s="11"/>
      <c r="I814" s="11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20"/>
      <c r="B815" s="11"/>
      <c r="C815" s="11"/>
      <c r="D815" s="11"/>
      <c r="E815" s="11"/>
      <c r="F815" s="11"/>
      <c r="G815" s="11"/>
      <c r="H815" s="11"/>
      <c r="I815" s="11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20"/>
      <c r="B816" s="11"/>
      <c r="C816" s="11"/>
      <c r="D816" s="11"/>
      <c r="E816" s="11"/>
      <c r="F816" s="11"/>
      <c r="G816" s="11"/>
      <c r="H816" s="11"/>
      <c r="I816" s="11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20"/>
      <c r="B817" s="11"/>
      <c r="C817" s="11"/>
      <c r="D817" s="11"/>
      <c r="E817" s="11"/>
      <c r="F817" s="11"/>
      <c r="G817" s="11"/>
      <c r="H817" s="11"/>
      <c r="I817" s="11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20"/>
      <c r="B818" s="11"/>
      <c r="C818" s="11"/>
      <c r="D818" s="11"/>
      <c r="E818" s="11"/>
      <c r="F818" s="11"/>
      <c r="G818" s="11"/>
      <c r="H818" s="11"/>
      <c r="I818" s="11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20"/>
      <c r="B819" s="11"/>
      <c r="C819" s="11"/>
      <c r="D819" s="11"/>
      <c r="E819" s="11"/>
      <c r="F819" s="11"/>
      <c r="G819" s="11"/>
      <c r="H819" s="11"/>
      <c r="I819" s="11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20"/>
      <c r="B820" s="11"/>
      <c r="C820" s="11"/>
      <c r="D820" s="11"/>
      <c r="E820" s="11"/>
      <c r="F820" s="11"/>
      <c r="G820" s="11"/>
      <c r="H820" s="11"/>
      <c r="I820" s="11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20"/>
      <c r="B821" s="11"/>
      <c r="C821" s="11"/>
      <c r="D821" s="11"/>
      <c r="E821" s="11"/>
      <c r="F821" s="11"/>
      <c r="G821" s="11"/>
      <c r="H821" s="11"/>
      <c r="I821" s="11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20"/>
      <c r="B822" s="11"/>
      <c r="C822" s="11"/>
      <c r="D822" s="11"/>
      <c r="E822" s="11"/>
      <c r="F822" s="11"/>
      <c r="G822" s="11"/>
      <c r="H822" s="11"/>
      <c r="I822" s="11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20"/>
      <c r="B823" s="11"/>
      <c r="C823" s="11"/>
      <c r="D823" s="11"/>
      <c r="E823" s="11"/>
      <c r="F823" s="11"/>
      <c r="G823" s="11"/>
      <c r="H823" s="11"/>
      <c r="I823" s="11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20"/>
      <c r="B824" s="11"/>
      <c r="C824" s="11"/>
      <c r="D824" s="11"/>
      <c r="E824" s="11"/>
      <c r="F824" s="11"/>
      <c r="G824" s="11"/>
      <c r="H824" s="11"/>
      <c r="I824" s="11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20"/>
      <c r="B825" s="11"/>
      <c r="C825" s="11"/>
      <c r="D825" s="11"/>
      <c r="E825" s="11"/>
      <c r="F825" s="11"/>
      <c r="G825" s="11"/>
      <c r="H825" s="11"/>
      <c r="I825" s="11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20"/>
      <c r="B826" s="11"/>
      <c r="C826" s="11"/>
      <c r="D826" s="11"/>
      <c r="E826" s="11"/>
      <c r="F826" s="11"/>
      <c r="G826" s="11"/>
      <c r="H826" s="11"/>
      <c r="I826" s="11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20"/>
      <c r="B827" s="11"/>
      <c r="C827" s="11"/>
      <c r="D827" s="11"/>
      <c r="E827" s="11"/>
      <c r="F827" s="11"/>
      <c r="G827" s="11"/>
      <c r="H827" s="11"/>
      <c r="I827" s="11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20"/>
      <c r="B828" s="11"/>
      <c r="C828" s="11"/>
      <c r="D828" s="11"/>
      <c r="E828" s="11"/>
      <c r="F828" s="11"/>
      <c r="G828" s="11"/>
      <c r="H828" s="11"/>
      <c r="I828" s="11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20"/>
      <c r="B829" s="11"/>
      <c r="C829" s="11"/>
      <c r="D829" s="11"/>
      <c r="E829" s="11"/>
      <c r="F829" s="11"/>
      <c r="G829" s="11"/>
      <c r="H829" s="11"/>
      <c r="I829" s="11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20"/>
      <c r="B830" s="11"/>
      <c r="C830" s="11"/>
      <c r="D830" s="11"/>
      <c r="E830" s="11"/>
      <c r="F830" s="11"/>
      <c r="G830" s="11"/>
      <c r="H830" s="11"/>
      <c r="I830" s="1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20"/>
      <c r="B831" s="11"/>
      <c r="C831" s="11"/>
      <c r="D831" s="11"/>
      <c r="E831" s="11"/>
      <c r="F831" s="11"/>
      <c r="G831" s="11"/>
      <c r="H831" s="11"/>
      <c r="I831" s="11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20"/>
      <c r="B832" s="11"/>
      <c r="C832" s="11"/>
      <c r="D832" s="11"/>
      <c r="E832" s="11"/>
      <c r="F832" s="11"/>
      <c r="G832" s="11"/>
      <c r="H832" s="11"/>
      <c r="I832" s="11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20"/>
      <c r="B833" s="11"/>
      <c r="C833" s="11"/>
      <c r="D833" s="11"/>
      <c r="E833" s="11"/>
      <c r="F833" s="11"/>
      <c r="G833" s="11"/>
      <c r="H833" s="11"/>
      <c r="I833" s="11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20"/>
      <c r="B834" s="11"/>
      <c r="C834" s="11"/>
      <c r="D834" s="11"/>
      <c r="E834" s="11"/>
      <c r="F834" s="11"/>
      <c r="G834" s="11"/>
      <c r="H834" s="11"/>
      <c r="I834" s="1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20"/>
      <c r="B835" s="11"/>
      <c r="C835" s="11"/>
      <c r="D835" s="11"/>
      <c r="E835" s="11"/>
      <c r="F835" s="11"/>
      <c r="G835" s="11"/>
      <c r="H835" s="11"/>
      <c r="I835" s="1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20"/>
      <c r="B836" s="11"/>
      <c r="C836" s="11"/>
      <c r="D836" s="11"/>
      <c r="E836" s="11"/>
      <c r="F836" s="11"/>
      <c r="G836" s="11"/>
      <c r="H836" s="11"/>
      <c r="I836" s="1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20"/>
      <c r="B837" s="11"/>
      <c r="C837" s="11"/>
      <c r="D837" s="11"/>
      <c r="E837" s="11"/>
      <c r="F837" s="11"/>
      <c r="G837" s="11"/>
      <c r="H837" s="11"/>
      <c r="I837" s="11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20"/>
      <c r="B838" s="11"/>
      <c r="C838" s="11"/>
      <c r="D838" s="11"/>
      <c r="E838" s="11"/>
      <c r="F838" s="11"/>
      <c r="G838" s="11"/>
      <c r="H838" s="11"/>
      <c r="I838" s="11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20"/>
      <c r="B839" s="11"/>
      <c r="C839" s="11"/>
      <c r="D839" s="11"/>
      <c r="E839" s="11"/>
      <c r="F839" s="11"/>
      <c r="G839" s="11"/>
      <c r="H839" s="11"/>
      <c r="I839" s="11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20"/>
      <c r="B840" s="11"/>
      <c r="C840" s="11"/>
      <c r="D840" s="11"/>
      <c r="E840" s="11"/>
      <c r="F840" s="11"/>
      <c r="G840" s="11"/>
      <c r="H840" s="11"/>
      <c r="I840" s="1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20"/>
      <c r="B841" s="11"/>
      <c r="C841" s="11"/>
      <c r="D841" s="11"/>
      <c r="E841" s="11"/>
      <c r="F841" s="11"/>
      <c r="G841" s="11"/>
      <c r="H841" s="11"/>
      <c r="I841" s="11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20"/>
      <c r="B842" s="11"/>
      <c r="C842" s="11"/>
      <c r="D842" s="11"/>
      <c r="E842" s="11"/>
      <c r="F842" s="11"/>
      <c r="G842" s="11"/>
      <c r="H842" s="11"/>
      <c r="I842" s="1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20"/>
      <c r="B843" s="11"/>
      <c r="C843" s="11"/>
      <c r="D843" s="11"/>
      <c r="E843" s="11"/>
      <c r="F843" s="11"/>
      <c r="G843" s="11"/>
      <c r="H843" s="11"/>
      <c r="I843" s="1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20"/>
      <c r="B844" s="11"/>
      <c r="C844" s="11"/>
      <c r="D844" s="11"/>
      <c r="E844" s="11"/>
      <c r="F844" s="11"/>
      <c r="G844" s="11"/>
      <c r="H844" s="11"/>
      <c r="I844" s="1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20"/>
      <c r="B845" s="11"/>
      <c r="C845" s="11"/>
      <c r="D845" s="11"/>
      <c r="E845" s="11"/>
      <c r="F845" s="11"/>
      <c r="G845" s="11"/>
      <c r="H845" s="11"/>
      <c r="I845" s="1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20"/>
      <c r="B846" s="11"/>
      <c r="C846" s="11"/>
      <c r="D846" s="11"/>
      <c r="E846" s="11"/>
      <c r="F846" s="11"/>
      <c r="G846" s="11"/>
      <c r="H846" s="11"/>
      <c r="I846" s="1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20"/>
      <c r="B847" s="11"/>
      <c r="C847" s="11"/>
      <c r="D847" s="11"/>
      <c r="E847" s="11"/>
      <c r="F847" s="11"/>
      <c r="G847" s="11"/>
      <c r="H847" s="11"/>
      <c r="I847" s="1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20"/>
      <c r="B848" s="11"/>
      <c r="C848" s="11"/>
      <c r="D848" s="11"/>
      <c r="E848" s="11"/>
      <c r="F848" s="11"/>
      <c r="G848" s="11"/>
      <c r="H848" s="11"/>
      <c r="I848" s="1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20"/>
      <c r="B849" s="11"/>
      <c r="C849" s="11"/>
      <c r="D849" s="11"/>
      <c r="E849" s="11"/>
      <c r="F849" s="11"/>
      <c r="G849" s="11"/>
      <c r="H849" s="11"/>
      <c r="I849" s="1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20"/>
      <c r="B850" s="11"/>
      <c r="C850" s="11"/>
      <c r="D850" s="11"/>
      <c r="E850" s="11"/>
      <c r="F850" s="11"/>
      <c r="G850" s="11"/>
      <c r="H850" s="11"/>
      <c r="I850" s="1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20"/>
      <c r="B851" s="11"/>
      <c r="C851" s="11"/>
      <c r="D851" s="11"/>
      <c r="E851" s="11"/>
      <c r="F851" s="11"/>
      <c r="G851" s="11"/>
      <c r="H851" s="11"/>
      <c r="I851" s="1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20"/>
      <c r="B852" s="11"/>
      <c r="C852" s="11"/>
      <c r="D852" s="11"/>
      <c r="E852" s="11"/>
      <c r="F852" s="11"/>
      <c r="G852" s="11"/>
      <c r="H852" s="11"/>
      <c r="I852" s="1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20"/>
      <c r="B853" s="11"/>
      <c r="C853" s="11"/>
      <c r="D853" s="11"/>
      <c r="E853" s="11"/>
      <c r="F853" s="11"/>
      <c r="G853" s="11"/>
      <c r="H853" s="11"/>
      <c r="I853" s="1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20"/>
      <c r="B854" s="11"/>
      <c r="C854" s="11"/>
      <c r="D854" s="11"/>
      <c r="E854" s="11"/>
      <c r="F854" s="11"/>
      <c r="G854" s="11"/>
      <c r="H854" s="11"/>
      <c r="I854" s="1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20"/>
      <c r="B855" s="11"/>
      <c r="C855" s="11"/>
      <c r="D855" s="11"/>
      <c r="E855" s="11"/>
      <c r="F855" s="11"/>
      <c r="G855" s="11"/>
      <c r="H855" s="11"/>
      <c r="I855" s="1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20"/>
      <c r="B856" s="11"/>
      <c r="C856" s="11"/>
      <c r="D856" s="11"/>
      <c r="E856" s="11"/>
      <c r="F856" s="11"/>
      <c r="G856" s="11"/>
      <c r="H856" s="11"/>
      <c r="I856" s="1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20"/>
      <c r="B857" s="11"/>
      <c r="C857" s="11"/>
      <c r="D857" s="11"/>
      <c r="E857" s="11"/>
      <c r="F857" s="11"/>
      <c r="G857" s="11"/>
      <c r="H857" s="11"/>
      <c r="I857" s="1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20"/>
      <c r="B858" s="11"/>
      <c r="C858" s="11"/>
      <c r="D858" s="11"/>
      <c r="E858" s="11"/>
      <c r="F858" s="11"/>
      <c r="G858" s="11"/>
      <c r="H858" s="11"/>
      <c r="I858" s="1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20"/>
      <c r="B859" s="11"/>
      <c r="C859" s="11"/>
      <c r="D859" s="11"/>
      <c r="E859" s="11"/>
      <c r="F859" s="11"/>
      <c r="G859" s="11"/>
      <c r="H859" s="11"/>
      <c r="I859" s="1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20"/>
      <c r="B860" s="11"/>
      <c r="C860" s="11"/>
      <c r="D860" s="11"/>
      <c r="E860" s="11"/>
      <c r="F860" s="11"/>
      <c r="G860" s="11"/>
      <c r="H860" s="11"/>
      <c r="I860" s="1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20"/>
      <c r="B861" s="11"/>
      <c r="C861" s="11"/>
      <c r="D861" s="11"/>
      <c r="E861" s="11"/>
      <c r="F861" s="11"/>
      <c r="G861" s="11"/>
      <c r="H861" s="11"/>
      <c r="I861" s="11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20"/>
      <c r="B862" s="11"/>
      <c r="C862" s="11"/>
      <c r="D862" s="11"/>
      <c r="E862" s="11"/>
      <c r="F862" s="11"/>
      <c r="G862" s="11"/>
      <c r="H862" s="11"/>
      <c r="I862" s="1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20"/>
      <c r="B863" s="11"/>
      <c r="C863" s="11"/>
      <c r="D863" s="11"/>
      <c r="E863" s="11"/>
      <c r="F863" s="11"/>
      <c r="G863" s="11"/>
      <c r="H863" s="11"/>
      <c r="I863" s="11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20"/>
      <c r="B864" s="11"/>
      <c r="C864" s="11"/>
      <c r="D864" s="11"/>
      <c r="E864" s="11"/>
      <c r="F864" s="11"/>
      <c r="G864" s="11"/>
      <c r="H864" s="11"/>
      <c r="I864" s="1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20"/>
      <c r="B865" s="11"/>
      <c r="C865" s="11"/>
      <c r="D865" s="11"/>
      <c r="E865" s="11"/>
      <c r="F865" s="11"/>
      <c r="G865" s="11"/>
      <c r="H865" s="11"/>
      <c r="I865" s="1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20"/>
      <c r="B866" s="11"/>
      <c r="C866" s="11"/>
      <c r="D866" s="11"/>
      <c r="E866" s="11"/>
      <c r="F866" s="11"/>
      <c r="G866" s="11"/>
      <c r="H866" s="11"/>
      <c r="I866" s="11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20"/>
      <c r="B867" s="11"/>
      <c r="C867" s="11"/>
      <c r="D867" s="11"/>
      <c r="E867" s="11"/>
      <c r="F867" s="11"/>
      <c r="G867" s="11"/>
      <c r="H867" s="11"/>
      <c r="I867" s="1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20"/>
      <c r="B868" s="11"/>
      <c r="C868" s="11"/>
      <c r="D868" s="11"/>
      <c r="E868" s="11"/>
      <c r="F868" s="11"/>
      <c r="G868" s="11"/>
      <c r="H868" s="11"/>
      <c r="I868" s="1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20"/>
      <c r="B869" s="11"/>
      <c r="C869" s="11"/>
      <c r="D869" s="11"/>
      <c r="E869" s="11"/>
      <c r="F869" s="11"/>
      <c r="G869" s="11"/>
      <c r="H869" s="11"/>
      <c r="I869" s="1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20"/>
      <c r="B870" s="11"/>
      <c r="C870" s="11"/>
      <c r="D870" s="11"/>
      <c r="E870" s="11"/>
      <c r="F870" s="11"/>
      <c r="G870" s="11"/>
      <c r="H870" s="11"/>
      <c r="I870" s="1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20"/>
      <c r="B871" s="11"/>
      <c r="C871" s="11"/>
      <c r="D871" s="11"/>
      <c r="E871" s="11"/>
      <c r="F871" s="11"/>
      <c r="G871" s="11"/>
      <c r="H871" s="11"/>
      <c r="I871" s="1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20"/>
      <c r="B872" s="11"/>
      <c r="C872" s="11"/>
      <c r="D872" s="11"/>
      <c r="E872" s="11"/>
      <c r="F872" s="11"/>
      <c r="G872" s="11"/>
      <c r="H872" s="11"/>
      <c r="I872" s="1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20"/>
      <c r="B873" s="11"/>
      <c r="C873" s="11"/>
      <c r="D873" s="11"/>
      <c r="E873" s="11"/>
      <c r="F873" s="11"/>
      <c r="G873" s="11"/>
      <c r="H873" s="11"/>
      <c r="I873" s="1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20"/>
      <c r="B874" s="11"/>
      <c r="C874" s="11"/>
      <c r="D874" s="11"/>
      <c r="E874" s="11"/>
      <c r="F874" s="11"/>
      <c r="G874" s="11"/>
      <c r="H874" s="11"/>
      <c r="I874" s="1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20"/>
      <c r="B875" s="11"/>
      <c r="C875" s="11"/>
      <c r="D875" s="11"/>
      <c r="E875" s="11"/>
      <c r="F875" s="11"/>
      <c r="G875" s="11"/>
      <c r="H875" s="11"/>
      <c r="I875" s="1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20"/>
      <c r="B876" s="11"/>
      <c r="C876" s="11"/>
      <c r="D876" s="11"/>
      <c r="E876" s="11"/>
      <c r="F876" s="11"/>
      <c r="G876" s="11"/>
      <c r="H876" s="11"/>
      <c r="I876" s="11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20"/>
      <c r="B877" s="11"/>
      <c r="C877" s="11"/>
      <c r="D877" s="11"/>
      <c r="E877" s="11"/>
      <c r="F877" s="11"/>
      <c r="G877" s="11"/>
      <c r="H877" s="11"/>
      <c r="I877" s="11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20"/>
      <c r="B878" s="11"/>
      <c r="C878" s="11"/>
      <c r="D878" s="11"/>
      <c r="E878" s="11"/>
      <c r="F878" s="11"/>
      <c r="G878" s="11"/>
      <c r="H878" s="11"/>
      <c r="I878" s="11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20"/>
      <c r="B879" s="11"/>
      <c r="C879" s="11"/>
      <c r="D879" s="11"/>
      <c r="E879" s="11"/>
      <c r="F879" s="11"/>
      <c r="G879" s="11"/>
      <c r="H879" s="11"/>
      <c r="I879" s="1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20"/>
      <c r="B880" s="11"/>
      <c r="C880" s="11"/>
      <c r="D880" s="11"/>
      <c r="E880" s="11"/>
      <c r="F880" s="11"/>
      <c r="G880" s="11"/>
      <c r="H880" s="11"/>
      <c r="I880" s="1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20"/>
      <c r="B881" s="11"/>
      <c r="C881" s="11"/>
      <c r="D881" s="11"/>
      <c r="E881" s="11"/>
      <c r="F881" s="11"/>
      <c r="G881" s="11"/>
      <c r="H881" s="11"/>
      <c r="I881" s="11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20"/>
      <c r="B882" s="11"/>
      <c r="C882" s="11"/>
      <c r="D882" s="11"/>
      <c r="E882" s="11"/>
      <c r="F882" s="11"/>
      <c r="G882" s="11"/>
      <c r="H882" s="11"/>
      <c r="I882" s="11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20"/>
      <c r="B883" s="11"/>
      <c r="C883" s="11"/>
      <c r="D883" s="11"/>
      <c r="E883" s="11"/>
      <c r="F883" s="11"/>
      <c r="G883" s="11"/>
      <c r="H883" s="11"/>
      <c r="I883" s="11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20"/>
      <c r="B884" s="11"/>
      <c r="C884" s="11"/>
      <c r="D884" s="11"/>
      <c r="E884" s="11"/>
      <c r="F884" s="11"/>
      <c r="G884" s="11"/>
      <c r="H884" s="11"/>
      <c r="I884" s="1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20"/>
      <c r="B885" s="11"/>
      <c r="C885" s="11"/>
      <c r="D885" s="11"/>
      <c r="E885" s="11"/>
      <c r="F885" s="11"/>
      <c r="G885" s="11"/>
      <c r="H885" s="11"/>
      <c r="I885" s="1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20"/>
      <c r="B886" s="11"/>
      <c r="C886" s="11"/>
      <c r="D886" s="11"/>
      <c r="E886" s="11"/>
      <c r="F886" s="11"/>
      <c r="G886" s="11"/>
      <c r="H886" s="11"/>
      <c r="I886" s="11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20"/>
      <c r="B887" s="11"/>
      <c r="C887" s="11"/>
      <c r="D887" s="11"/>
      <c r="E887" s="11"/>
      <c r="F887" s="11"/>
      <c r="G887" s="11"/>
      <c r="H887" s="11"/>
      <c r="I887" s="1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20"/>
      <c r="B888" s="11"/>
      <c r="C888" s="11"/>
      <c r="D888" s="11"/>
      <c r="E888" s="11"/>
      <c r="F888" s="11"/>
      <c r="G888" s="11"/>
      <c r="H888" s="11"/>
      <c r="I888" s="11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20"/>
      <c r="B889" s="11"/>
      <c r="C889" s="11"/>
      <c r="D889" s="11"/>
      <c r="E889" s="11"/>
      <c r="F889" s="11"/>
      <c r="G889" s="11"/>
      <c r="H889" s="11"/>
      <c r="I889" s="1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20"/>
      <c r="B890" s="11"/>
      <c r="C890" s="11"/>
      <c r="D890" s="11"/>
      <c r="E890" s="11"/>
      <c r="F890" s="11"/>
      <c r="G890" s="11"/>
      <c r="H890" s="11"/>
      <c r="I890" s="11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20"/>
      <c r="B891" s="11"/>
      <c r="C891" s="11"/>
      <c r="D891" s="11"/>
      <c r="E891" s="11"/>
      <c r="F891" s="11"/>
      <c r="G891" s="11"/>
      <c r="H891" s="11"/>
      <c r="I891" s="11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20"/>
      <c r="B892" s="11"/>
      <c r="C892" s="11"/>
      <c r="D892" s="11"/>
      <c r="E892" s="11"/>
      <c r="F892" s="11"/>
      <c r="G892" s="11"/>
      <c r="H892" s="11"/>
      <c r="I892" s="1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20"/>
      <c r="B893" s="11"/>
      <c r="C893" s="11"/>
      <c r="D893" s="11"/>
      <c r="E893" s="11"/>
      <c r="F893" s="11"/>
      <c r="G893" s="11"/>
      <c r="H893" s="11"/>
      <c r="I893" s="1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20"/>
      <c r="B894" s="11"/>
      <c r="C894" s="11"/>
      <c r="D894" s="11"/>
      <c r="E894" s="11"/>
      <c r="F894" s="11"/>
      <c r="G894" s="11"/>
      <c r="H894" s="11"/>
      <c r="I894" s="1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20"/>
      <c r="B895" s="11"/>
      <c r="C895" s="11"/>
      <c r="D895" s="11"/>
      <c r="E895" s="11"/>
      <c r="F895" s="11"/>
      <c r="G895" s="11"/>
      <c r="H895" s="11"/>
      <c r="I895" s="1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20"/>
      <c r="B896" s="11"/>
      <c r="C896" s="11"/>
      <c r="D896" s="11"/>
      <c r="E896" s="11"/>
      <c r="F896" s="11"/>
      <c r="G896" s="11"/>
      <c r="H896" s="11"/>
      <c r="I896" s="1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20"/>
      <c r="B897" s="11"/>
      <c r="C897" s="11"/>
      <c r="D897" s="11"/>
      <c r="E897" s="11"/>
      <c r="F897" s="11"/>
      <c r="G897" s="11"/>
      <c r="H897" s="11"/>
      <c r="I897" s="1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20"/>
      <c r="B898" s="11"/>
      <c r="C898" s="11"/>
      <c r="D898" s="11"/>
      <c r="E898" s="11"/>
      <c r="F898" s="11"/>
      <c r="G898" s="11"/>
      <c r="H898" s="11"/>
      <c r="I898" s="11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20"/>
      <c r="B899" s="11"/>
      <c r="C899" s="11"/>
      <c r="D899" s="11"/>
      <c r="E899" s="11"/>
      <c r="F899" s="11"/>
      <c r="G899" s="11"/>
      <c r="H899" s="11"/>
      <c r="I899" s="1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20"/>
      <c r="B900" s="11"/>
      <c r="C900" s="11"/>
      <c r="D900" s="11"/>
      <c r="E900" s="11"/>
      <c r="F900" s="11"/>
      <c r="G900" s="11"/>
      <c r="H900" s="11"/>
      <c r="I900" s="1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20"/>
      <c r="B901" s="11"/>
      <c r="C901" s="11"/>
      <c r="D901" s="11"/>
      <c r="E901" s="11"/>
      <c r="F901" s="11"/>
      <c r="G901" s="11"/>
      <c r="H901" s="11"/>
      <c r="I901" s="1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20"/>
      <c r="B902" s="11"/>
      <c r="C902" s="11"/>
      <c r="D902" s="11"/>
      <c r="E902" s="11"/>
      <c r="F902" s="11"/>
      <c r="G902" s="11"/>
      <c r="H902" s="11"/>
      <c r="I902" s="1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20"/>
      <c r="B903" s="11"/>
      <c r="C903" s="11"/>
      <c r="D903" s="11"/>
      <c r="E903" s="11"/>
      <c r="F903" s="11"/>
      <c r="G903" s="11"/>
      <c r="H903" s="11"/>
      <c r="I903" s="1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20"/>
      <c r="B904" s="11"/>
      <c r="C904" s="11"/>
      <c r="D904" s="11"/>
      <c r="E904" s="11"/>
      <c r="F904" s="11"/>
      <c r="G904" s="11"/>
      <c r="H904" s="11"/>
      <c r="I904" s="1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20"/>
      <c r="B905" s="11"/>
      <c r="C905" s="11"/>
      <c r="D905" s="11"/>
      <c r="E905" s="11"/>
      <c r="F905" s="11"/>
      <c r="G905" s="11"/>
      <c r="H905" s="11"/>
      <c r="I905" s="1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20"/>
      <c r="B906" s="11"/>
      <c r="C906" s="11"/>
      <c r="D906" s="11"/>
      <c r="E906" s="11"/>
      <c r="F906" s="11"/>
      <c r="G906" s="11"/>
      <c r="H906" s="11"/>
      <c r="I906" s="1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20"/>
      <c r="B907" s="11"/>
      <c r="C907" s="11"/>
      <c r="D907" s="11"/>
      <c r="E907" s="11"/>
      <c r="F907" s="11"/>
      <c r="G907" s="11"/>
      <c r="H907" s="11"/>
      <c r="I907" s="1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20"/>
      <c r="B908" s="11"/>
      <c r="C908" s="11"/>
      <c r="D908" s="11"/>
      <c r="E908" s="11"/>
      <c r="F908" s="11"/>
      <c r="G908" s="11"/>
      <c r="H908" s="11"/>
      <c r="I908" s="1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20"/>
      <c r="B909" s="11"/>
      <c r="C909" s="11"/>
      <c r="D909" s="11"/>
      <c r="E909" s="11"/>
      <c r="F909" s="11"/>
      <c r="G909" s="11"/>
      <c r="H909" s="11"/>
      <c r="I909" s="11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20"/>
      <c r="B910" s="11"/>
      <c r="C910" s="11"/>
      <c r="D910" s="11"/>
      <c r="E910" s="11"/>
      <c r="F910" s="11"/>
      <c r="G910" s="11"/>
      <c r="H910" s="11"/>
      <c r="I910" s="11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20"/>
      <c r="B911" s="11"/>
      <c r="C911" s="11"/>
      <c r="D911" s="11"/>
      <c r="E911" s="11"/>
      <c r="F911" s="11"/>
      <c r="G911" s="11"/>
      <c r="H911" s="11"/>
      <c r="I911" s="11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20"/>
      <c r="B912" s="11"/>
      <c r="C912" s="11"/>
      <c r="D912" s="11"/>
      <c r="E912" s="11"/>
      <c r="F912" s="11"/>
      <c r="G912" s="11"/>
      <c r="H912" s="11"/>
      <c r="I912" s="11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20"/>
      <c r="B913" s="11"/>
      <c r="C913" s="11"/>
      <c r="D913" s="11"/>
      <c r="E913" s="11"/>
      <c r="F913" s="11"/>
      <c r="G913" s="11"/>
      <c r="H913" s="11"/>
      <c r="I913" s="11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20"/>
      <c r="B914" s="11"/>
      <c r="C914" s="11"/>
      <c r="D914" s="11"/>
      <c r="E914" s="11"/>
      <c r="F914" s="11"/>
      <c r="G914" s="11"/>
      <c r="H914" s="11"/>
      <c r="I914" s="11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20"/>
      <c r="B915" s="11"/>
      <c r="C915" s="11"/>
      <c r="D915" s="11"/>
      <c r="E915" s="11"/>
      <c r="F915" s="11"/>
      <c r="G915" s="11"/>
      <c r="H915" s="11"/>
      <c r="I915" s="11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20"/>
      <c r="B916" s="11"/>
      <c r="C916" s="11"/>
      <c r="D916" s="11"/>
      <c r="E916" s="11"/>
      <c r="F916" s="11"/>
      <c r="G916" s="11"/>
      <c r="H916" s="11"/>
      <c r="I916" s="11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20"/>
      <c r="B917" s="11"/>
      <c r="C917" s="11"/>
      <c r="D917" s="11"/>
      <c r="E917" s="11"/>
      <c r="F917" s="11"/>
      <c r="G917" s="11"/>
      <c r="H917" s="11"/>
      <c r="I917" s="11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20"/>
      <c r="B918" s="11"/>
      <c r="C918" s="11"/>
      <c r="D918" s="11"/>
      <c r="E918" s="11"/>
      <c r="F918" s="11"/>
      <c r="G918" s="11"/>
      <c r="H918" s="11"/>
      <c r="I918" s="11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20"/>
      <c r="B919" s="11"/>
      <c r="C919" s="11"/>
      <c r="D919" s="11"/>
      <c r="E919" s="11"/>
      <c r="F919" s="11"/>
      <c r="G919" s="11"/>
      <c r="H919" s="11"/>
      <c r="I919" s="11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20"/>
      <c r="B920" s="11"/>
      <c r="C920" s="11"/>
      <c r="D920" s="11"/>
      <c r="E920" s="11"/>
      <c r="F920" s="11"/>
      <c r="G920" s="11"/>
      <c r="H920" s="11"/>
      <c r="I920" s="11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20"/>
      <c r="B921" s="11"/>
      <c r="C921" s="11"/>
      <c r="D921" s="11"/>
      <c r="E921" s="11"/>
      <c r="F921" s="11"/>
      <c r="G921" s="11"/>
      <c r="H921" s="11"/>
      <c r="I921" s="11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20"/>
      <c r="B922" s="11"/>
      <c r="C922" s="11"/>
      <c r="D922" s="11"/>
      <c r="E922" s="11"/>
      <c r="F922" s="11"/>
      <c r="G922" s="11"/>
      <c r="H922" s="11"/>
      <c r="I922" s="11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20"/>
      <c r="B923" s="11"/>
      <c r="C923" s="11"/>
      <c r="D923" s="11"/>
      <c r="E923" s="11"/>
      <c r="F923" s="11"/>
      <c r="G923" s="11"/>
      <c r="H923" s="11"/>
      <c r="I923" s="11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20"/>
      <c r="B924" s="11"/>
      <c r="C924" s="11"/>
      <c r="D924" s="11"/>
      <c r="E924" s="11"/>
      <c r="F924" s="11"/>
      <c r="G924" s="11"/>
      <c r="H924" s="11"/>
      <c r="I924" s="11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20"/>
      <c r="B925" s="11"/>
      <c r="C925" s="11"/>
      <c r="D925" s="11"/>
      <c r="E925" s="11"/>
      <c r="F925" s="11"/>
      <c r="G925" s="11"/>
      <c r="H925" s="11"/>
      <c r="I925" s="11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20"/>
      <c r="B926" s="11"/>
      <c r="C926" s="11"/>
      <c r="D926" s="11"/>
      <c r="E926" s="11"/>
      <c r="F926" s="11"/>
      <c r="G926" s="11"/>
      <c r="H926" s="11"/>
      <c r="I926" s="11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20"/>
      <c r="B927" s="11"/>
      <c r="C927" s="11"/>
      <c r="D927" s="11"/>
      <c r="E927" s="11"/>
      <c r="F927" s="11"/>
      <c r="G927" s="11"/>
      <c r="H927" s="11"/>
      <c r="I927" s="11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20"/>
      <c r="B928" s="11"/>
      <c r="C928" s="11"/>
      <c r="D928" s="11"/>
      <c r="E928" s="11"/>
      <c r="F928" s="11"/>
      <c r="G928" s="11"/>
      <c r="H928" s="11"/>
      <c r="I928" s="11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20"/>
      <c r="B929" s="11"/>
      <c r="C929" s="11"/>
      <c r="D929" s="11"/>
      <c r="E929" s="11"/>
      <c r="F929" s="11"/>
      <c r="G929" s="11"/>
      <c r="H929" s="11"/>
      <c r="I929" s="11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20"/>
      <c r="B930" s="11"/>
      <c r="C930" s="11"/>
      <c r="D930" s="11"/>
      <c r="E930" s="11"/>
      <c r="F930" s="11"/>
      <c r="G930" s="11"/>
      <c r="H930" s="11"/>
      <c r="I930" s="11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20"/>
      <c r="B931" s="11"/>
      <c r="C931" s="11"/>
      <c r="D931" s="11"/>
      <c r="E931" s="11"/>
      <c r="F931" s="11"/>
      <c r="G931" s="11"/>
      <c r="H931" s="11"/>
      <c r="I931" s="11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20"/>
      <c r="B932" s="11"/>
      <c r="C932" s="11"/>
      <c r="D932" s="11"/>
      <c r="E932" s="11"/>
      <c r="F932" s="11"/>
      <c r="G932" s="11"/>
      <c r="H932" s="11"/>
      <c r="I932" s="11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20"/>
      <c r="B933" s="11"/>
      <c r="C933" s="11"/>
      <c r="D933" s="11"/>
      <c r="E933" s="11"/>
      <c r="F933" s="11"/>
      <c r="G933" s="11"/>
      <c r="H933" s="11"/>
      <c r="I933" s="11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20"/>
      <c r="B934" s="11"/>
      <c r="C934" s="11"/>
      <c r="D934" s="11"/>
      <c r="E934" s="11"/>
      <c r="F934" s="11"/>
      <c r="G934" s="11"/>
      <c r="H934" s="11"/>
      <c r="I934" s="11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20"/>
      <c r="B935" s="11"/>
      <c r="C935" s="11"/>
      <c r="D935" s="11"/>
      <c r="E935" s="11"/>
      <c r="F935" s="11"/>
      <c r="G935" s="11"/>
      <c r="H935" s="11"/>
      <c r="I935" s="11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20"/>
      <c r="B936" s="11"/>
      <c r="C936" s="11"/>
      <c r="D936" s="11"/>
      <c r="E936" s="11"/>
      <c r="F936" s="11"/>
      <c r="G936" s="11"/>
      <c r="H936" s="11"/>
      <c r="I936" s="11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20"/>
      <c r="B937" s="11"/>
      <c r="C937" s="11"/>
      <c r="D937" s="11"/>
      <c r="E937" s="11"/>
      <c r="F937" s="11"/>
      <c r="G937" s="11"/>
      <c r="H937" s="11"/>
      <c r="I937" s="1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20"/>
      <c r="B938" s="11"/>
      <c r="C938" s="11"/>
      <c r="D938" s="11"/>
      <c r="E938" s="11"/>
      <c r="F938" s="11"/>
      <c r="G938" s="11"/>
      <c r="H938" s="11"/>
      <c r="I938" s="11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20"/>
      <c r="B939" s="11"/>
      <c r="C939" s="11"/>
      <c r="D939" s="11"/>
      <c r="E939" s="11"/>
      <c r="F939" s="11"/>
      <c r="G939" s="11"/>
      <c r="H939" s="11"/>
      <c r="I939" s="1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20"/>
      <c r="B940" s="11"/>
      <c r="C940" s="11"/>
      <c r="D940" s="11"/>
      <c r="E940" s="11"/>
      <c r="F940" s="11"/>
      <c r="G940" s="11"/>
      <c r="H940" s="11"/>
      <c r="I940" s="1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20"/>
      <c r="B941" s="11"/>
      <c r="C941" s="11"/>
      <c r="D941" s="11"/>
      <c r="E941" s="11"/>
      <c r="F941" s="11"/>
      <c r="G941" s="11"/>
      <c r="H941" s="11"/>
      <c r="I941" s="1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20"/>
      <c r="B942" s="11"/>
      <c r="C942" s="11"/>
      <c r="D942" s="11"/>
      <c r="E942" s="11"/>
      <c r="F942" s="11"/>
      <c r="G942" s="11"/>
      <c r="H942" s="11"/>
      <c r="I942" s="11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20"/>
      <c r="B943" s="11"/>
      <c r="C943" s="11"/>
      <c r="D943" s="11"/>
      <c r="E943" s="11"/>
      <c r="F943" s="11"/>
      <c r="G943" s="11"/>
      <c r="H943" s="11"/>
      <c r="I943" s="11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20"/>
      <c r="B944" s="11"/>
      <c r="C944" s="11"/>
      <c r="D944" s="11"/>
      <c r="E944" s="11"/>
      <c r="F944" s="11"/>
      <c r="G944" s="11"/>
      <c r="H944" s="11"/>
      <c r="I944" s="11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20"/>
      <c r="B945" s="11"/>
      <c r="C945" s="11"/>
      <c r="D945" s="11"/>
      <c r="E945" s="11"/>
      <c r="F945" s="11"/>
      <c r="G945" s="11"/>
      <c r="H945" s="11"/>
      <c r="I945" s="11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20"/>
      <c r="B946" s="11"/>
      <c r="C946" s="11"/>
      <c r="D946" s="11"/>
      <c r="E946" s="11"/>
      <c r="F946" s="11"/>
      <c r="G946" s="11"/>
      <c r="H946" s="11"/>
      <c r="I946" s="11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20"/>
      <c r="B947" s="11"/>
      <c r="C947" s="11"/>
      <c r="D947" s="11"/>
      <c r="E947" s="11"/>
      <c r="F947" s="11"/>
      <c r="G947" s="11"/>
      <c r="H947" s="11"/>
      <c r="I947" s="11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20"/>
      <c r="B948" s="11"/>
      <c r="C948" s="11"/>
      <c r="D948" s="11"/>
      <c r="E948" s="11"/>
      <c r="F948" s="11"/>
      <c r="G948" s="11"/>
      <c r="H948" s="11"/>
      <c r="I948" s="11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20"/>
      <c r="B949" s="11"/>
      <c r="C949" s="11"/>
      <c r="D949" s="11"/>
      <c r="E949" s="11"/>
      <c r="F949" s="11"/>
      <c r="G949" s="11"/>
      <c r="H949" s="11"/>
      <c r="I949" s="11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20"/>
      <c r="B950" s="11"/>
      <c r="C950" s="11"/>
      <c r="D950" s="11"/>
      <c r="E950" s="11"/>
      <c r="F950" s="11"/>
      <c r="G950" s="11"/>
      <c r="H950" s="11"/>
      <c r="I950" s="11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20"/>
      <c r="B951" s="11"/>
      <c r="C951" s="11"/>
      <c r="D951" s="11"/>
      <c r="E951" s="11"/>
      <c r="F951" s="11"/>
      <c r="G951" s="11"/>
      <c r="H951" s="11"/>
      <c r="I951" s="11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20"/>
      <c r="B952" s="11"/>
      <c r="C952" s="11"/>
      <c r="D952" s="11"/>
      <c r="E952" s="11"/>
      <c r="F952" s="11"/>
      <c r="G952" s="11"/>
      <c r="H952" s="11"/>
      <c r="I952" s="11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20"/>
      <c r="B953" s="11"/>
      <c r="C953" s="11"/>
      <c r="D953" s="11"/>
      <c r="E953" s="11"/>
      <c r="F953" s="11"/>
      <c r="G953" s="11"/>
      <c r="H953" s="11"/>
      <c r="I953" s="11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20"/>
      <c r="B954" s="11"/>
      <c r="C954" s="11"/>
      <c r="D954" s="11"/>
      <c r="E954" s="11"/>
      <c r="F954" s="11"/>
      <c r="G954" s="11"/>
      <c r="H954" s="11"/>
      <c r="I954" s="11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20"/>
      <c r="B955" s="11"/>
      <c r="C955" s="11"/>
      <c r="D955" s="11"/>
      <c r="E955" s="11"/>
      <c r="F955" s="11"/>
      <c r="G955" s="11"/>
      <c r="H955" s="11"/>
      <c r="I955" s="11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20"/>
      <c r="B956" s="11"/>
      <c r="C956" s="11"/>
      <c r="D956" s="11"/>
      <c r="E956" s="11"/>
      <c r="F956" s="11"/>
      <c r="G956" s="11"/>
      <c r="H956" s="11"/>
      <c r="I956" s="11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20"/>
      <c r="B957" s="11"/>
      <c r="C957" s="11"/>
      <c r="D957" s="11"/>
      <c r="E957" s="11"/>
      <c r="F957" s="11"/>
      <c r="G957" s="11"/>
      <c r="H957" s="11"/>
      <c r="I957" s="11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20"/>
      <c r="B958" s="11"/>
      <c r="C958" s="11"/>
      <c r="D958" s="11"/>
      <c r="E958" s="11"/>
      <c r="F958" s="11"/>
      <c r="G958" s="11"/>
      <c r="H958" s="11"/>
      <c r="I958" s="11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20"/>
      <c r="B959" s="11"/>
      <c r="C959" s="11"/>
      <c r="D959" s="11"/>
      <c r="E959" s="11"/>
      <c r="F959" s="11"/>
      <c r="G959" s="11"/>
      <c r="H959" s="11"/>
      <c r="I959" s="11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20"/>
      <c r="B960" s="11"/>
      <c r="C960" s="11"/>
      <c r="D960" s="11"/>
      <c r="E960" s="11"/>
      <c r="F960" s="11"/>
      <c r="G960" s="11"/>
      <c r="H960" s="11"/>
      <c r="I960" s="11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20"/>
      <c r="B961" s="11"/>
      <c r="C961" s="11"/>
      <c r="D961" s="11"/>
      <c r="E961" s="11"/>
      <c r="F961" s="11"/>
      <c r="G961" s="11"/>
      <c r="H961" s="11"/>
      <c r="I961" s="11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20"/>
      <c r="B962" s="11"/>
      <c r="C962" s="11"/>
      <c r="D962" s="11"/>
      <c r="E962" s="11"/>
      <c r="F962" s="11"/>
      <c r="G962" s="11"/>
      <c r="H962" s="11"/>
      <c r="I962" s="11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20"/>
      <c r="B963" s="11"/>
      <c r="C963" s="11"/>
      <c r="D963" s="11"/>
      <c r="E963" s="11"/>
      <c r="F963" s="11"/>
      <c r="G963" s="11"/>
      <c r="H963" s="11"/>
      <c r="I963" s="11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20"/>
      <c r="B964" s="11"/>
      <c r="C964" s="11"/>
      <c r="D964" s="11"/>
      <c r="E964" s="11"/>
      <c r="F964" s="11"/>
      <c r="G964" s="11"/>
      <c r="H964" s="11"/>
      <c r="I964" s="11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20"/>
      <c r="B965" s="11"/>
      <c r="C965" s="11"/>
      <c r="D965" s="11"/>
      <c r="E965" s="11"/>
      <c r="F965" s="11"/>
      <c r="G965" s="11"/>
      <c r="H965" s="11"/>
      <c r="I965" s="11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20"/>
      <c r="B966" s="11"/>
      <c r="C966" s="11"/>
      <c r="D966" s="11"/>
      <c r="E966" s="11"/>
      <c r="F966" s="11"/>
      <c r="G966" s="11"/>
      <c r="H966" s="11"/>
      <c r="I966" s="11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20"/>
      <c r="B967" s="11"/>
      <c r="C967" s="11"/>
      <c r="D967" s="11"/>
      <c r="E967" s="11"/>
      <c r="F967" s="11"/>
      <c r="G967" s="11"/>
      <c r="H967" s="11"/>
      <c r="I967" s="11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20"/>
      <c r="B968" s="11"/>
      <c r="C968" s="11"/>
      <c r="D968" s="11"/>
      <c r="E968" s="11"/>
      <c r="F968" s="11"/>
      <c r="G968" s="11"/>
      <c r="H968" s="11"/>
      <c r="I968" s="11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20"/>
      <c r="B969" s="11"/>
      <c r="C969" s="11"/>
      <c r="D969" s="11"/>
      <c r="E969" s="11"/>
      <c r="F969" s="11"/>
      <c r="G969" s="11"/>
      <c r="H969" s="11"/>
      <c r="I969" s="11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20"/>
      <c r="B970" s="11"/>
      <c r="C970" s="11"/>
      <c r="D970" s="11"/>
      <c r="E970" s="11"/>
      <c r="F970" s="11"/>
      <c r="G970" s="11"/>
      <c r="H970" s="11"/>
      <c r="I970" s="11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20"/>
      <c r="B971" s="11"/>
      <c r="C971" s="11"/>
      <c r="D971" s="11"/>
      <c r="E971" s="11"/>
      <c r="F971" s="11"/>
      <c r="G971" s="11"/>
      <c r="H971" s="11"/>
      <c r="I971" s="11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20"/>
      <c r="B972" s="11"/>
      <c r="C972" s="11"/>
      <c r="D972" s="11"/>
      <c r="E972" s="11"/>
      <c r="F972" s="11"/>
      <c r="G972" s="11"/>
      <c r="H972" s="11"/>
      <c r="I972" s="11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20"/>
      <c r="B973" s="11"/>
      <c r="C973" s="11"/>
      <c r="D973" s="11"/>
      <c r="E973" s="11"/>
      <c r="F973" s="11"/>
      <c r="G973" s="11"/>
      <c r="H973" s="11"/>
      <c r="I973" s="11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20"/>
      <c r="B974" s="11"/>
      <c r="C974" s="11"/>
      <c r="D974" s="11"/>
      <c r="E974" s="11"/>
      <c r="F974" s="11"/>
      <c r="G974" s="11"/>
      <c r="H974" s="11"/>
      <c r="I974" s="11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20"/>
      <c r="B975" s="11"/>
      <c r="C975" s="11"/>
      <c r="D975" s="11"/>
      <c r="E975" s="11"/>
      <c r="F975" s="11"/>
      <c r="G975" s="11"/>
      <c r="H975" s="11"/>
      <c r="I975" s="11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20"/>
      <c r="B976" s="11"/>
      <c r="C976" s="11"/>
      <c r="D976" s="11"/>
      <c r="E976" s="11"/>
      <c r="F976" s="11"/>
      <c r="G976" s="11"/>
      <c r="H976" s="11"/>
      <c r="I976" s="11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20"/>
      <c r="B977" s="11"/>
      <c r="C977" s="11"/>
      <c r="D977" s="11"/>
      <c r="E977" s="11"/>
      <c r="F977" s="11"/>
      <c r="G977" s="11"/>
      <c r="H977" s="11"/>
      <c r="I977" s="11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20"/>
      <c r="B978" s="11"/>
      <c r="C978" s="11"/>
      <c r="D978" s="11"/>
      <c r="E978" s="11"/>
      <c r="F978" s="11"/>
      <c r="G978" s="11"/>
      <c r="H978" s="11"/>
      <c r="I978" s="11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20"/>
      <c r="B979" s="11"/>
      <c r="C979" s="11"/>
      <c r="D979" s="11"/>
      <c r="E979" s="11"/>
      <c r="F979" s="11"/>
      <c r="G979" s="11"/>
      <c r="H979" s="11"/>
      <c r="I979" s="11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20"/>
      <c r="B980" s="11"/>
      <c r="C980" s="11"/>
      <c r="D980" s="11"/>
      <c r="E980" s="11"/>
      <c r="F980" s="11"/>
      <c r="G980" s="11"/>
      <c r="H980" s="11"/>
      <c r="I980" s="11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20"/>
      <c r="B981" s="11"/>
      <c r="C981" s="11"/>
      <c r="D981" s="11"/>
      <c r="E981" s="11"/>
      <c r="F981" s="11"/>
      <c r="G981" s="11"/>
      <c r="H981" s="11"/>
      <c r="I981" s="11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20"/>
      <c r="B982" s="11"/>
      <c r="C982" s="11"/>
      <c r="D982" s="11"/>
      <c r="E982" s="11"/>
      <c r="F982" s="11"/>
      <c r="G982" s="11"/>
      <c r="H982" s="11"/>
      <c r="I982" s="11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20"/>
      <c r="B983" s="11"/>
      <c r="C983" s="11"/>
      <c r="D983" s="11"/>
      <c r="E983" s="11"/>
      <c r="F983" s="11"/>
      <c r="G983" s="11"/>
      <c r="H983" s="11"/>
      <c r="I983" s="11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20"/>
      <c r="B984" s="11"/>
      <c r="C984" s="11"/>
      <c r="D984" s="11"/>
      <c r="E984" s="11"/>
      <c r="F984" s="11"/>
      <c r="G984" s="11"/>
      <c r="H984" s="11"/>
      <c r="I984" s="11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20"/>
      <c r="B985" s="11"/>
      <c r="C985" s="11"/>
      <c r="D985" s="11"/>
      <c r="E985" s="11"/>
      <c r="F985" s="11"/>
      <c r="G985" s="11"/>
      <c r="H985" s="11"/>
      <c r="I985" s="11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20"/>
      <c r="B986" s="11"/>
      <c r="C986" s="11"/>
      <c r="D986" s="11"/>
      <c r="E986" s="11"/>
      <c r="F986" s="11"/>
      <c r="G986" s="11"/>
      <c r="H986" s="11"/>
      <c r="I986" s="11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20"/>
      <c r="B987" s="11"/>
      <c r="C987" s="11"/>
      <c r="D987" s="11"/>
      <c r="E987" s="11"/>
      <c r="F987" s="11"/>
      <c r="G987" s="11"/>
      <c r="H987" s="11"/>
      <c r="I987" s="11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20"/>
      <c r="B988" s="11"/>
      <c r="C988" s="11"/>
      <c r="D988" s="11"/>
      <c r="E988" s="11"/>
      <c r="F988" s="11"/>
      <c r="G988" s="11"/>
      <c r="H988" s="11"/>
      <c r="I988" s="11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20"/>
      <c r="B989" s="11"/>
      <c r="C989" s="11"/>
      <c r="D989" s="11"/>
      <c r="E989" s="11"/>
      <c r="F989" s="11"/>
      <c r="G989" s="11"/>
      <c r="H989" s="11"/>
      <c r="I989" s="11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20"/>
      <c r="B990" s="11"/>
      <c r="C990" s="11"/>
      <c r="D990" s="11"/>
      <c r="E990" s="11"/>
      <c r="F990" s="11"/>
      <c r="G990" s="11"/>
      <c r="H990" s="11"/>
      <c r="I990" s="11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20"/>
      <c r="B991" s="11"/>
      <c r="C991" s="11"/>
      <c r="D991" s="11"/>
      <c r="E991" s="11"/>
      <c r="F991" s="11"/>
      <c r="G991" s="11"/>
      <c r="H991" s="11"/>
      <c r="I991" s="11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20"/>
      <c r="B992" s="11"/>
      <c r="C992" s="11"/>
      <c r="D992" s="11"/>
      <c r="E992" s="11"/>
      <c r="F992" s="11"/>
      <c r="G992" s="11"/>
      <c r="H992" s="11"/>
      <c r="I992" s="11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20"/>
      <c r="B993" s="11"/>
      <c r="C993" s="11"/>
      <c r="D993" s="11"/>
      <c r="E993" s="11"/>
      <c r="F993" s="11"/>
      <c r="G993" s="11"/>
      <c r="H993" s="11"/>
      <c r="I993" s="11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20"/>
      <c r="B994" s="11"/>
      <c r="C994" s="11"/>
      <c r="D994" s="11"/>
      <c r="E994" s="11"/>
      <c r="F994" s="11"/>
      <c r="G994" s="11"/>
      <c r="H994" s="11"/>
      <c r="I994" s="11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20"/>
      <c r="B995" s="11"/>
      <c r="C995" s="11"/>
      <c r="D995" s="11"/>
      <c r="E995" s="11"/>
      <c r="F995" s="11"/>
      <c r="G995" s="11"/>
      <c r="H995" s="11"/>
      <c r="I995" s="11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20"/>
      <c r="B996" s="11"/>
      <c r="C996" s="11"/>
      <c r="D996" s="11"/>
      <c r="E996" s="11"/>
      <c r="F996" s="11"/>
      <c r="G996" s="11"/>
      <c r="H996" s="11"/>
      <c r="I996" s="11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20"/>
      <c r="B997" s="11"/>
      <c r="C997" s="11"/>
      <c r="D997" s="11"/>
      <c r="E997" s="11"/>
      <c r="F997" s="11"/>
      <c r="G997" s="11"/>
      <c r="H997" s="11"/>
      <c r="I997" s="11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20"/>
      <c r="B998" s="11"/>
      <c r="C998" s="11"/>
      <c r="D998" s="11"/>
      <c r="E998" s="11"/>
      <c r="F998" s="11"/>
      <c r="G998" s="11"/>
      <c r="H998" s="11"/>
      <c r="I998" s="11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20"/>
      <c r="B999" s="11"/>
      <c r="C999" s="11"/>
      <c r="D999" s="11"/>
      <c r="E999" s="11"/>
      <c r="F999" s="11"/>
      <c r="G999" s="11"/>
      <c r="H999" s="11"/>
      <c r="I999" s="11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20"/>
      <c r="B1000" s="11"/>
      <c r="C1000" s="11"/>
      <c r="D1000" s="11"/>
      <c r="E1000" s="11"/>
      <c r="F1000" s="11"/>
      <c r="G1000" s="11"/>
      <c r="H1000" s="11"/>
      <c r="I1000" s="11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2.63" defaultRowHeight="15.0"/>
  <cols>
    <col customWidth="1" min="1" max="2" width="37.5"/>
    <col customWidth="1" min="3" max="10" width="13.88"/>
    <col customWidth="1" min="11" max="27" width="11.13"/>
  </cols>
  <sheetData>
    <row r="1" ht="118.5" customHeight="1">
      <c r="A1" s="32"/>
      <c r="B1" s="32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5.75" customHeight="1">
      <c r="A2" s="34"/>
      <c r="B2" s="35" t="s">
        <v>303</v>
      </c>
      <c r="C2" s="15" t="str">
        <f>case!B1</f>
        <v>31/12/2024</v>
      </c>
      <c r="D2" s="36" t="str">
        <f>case!C1</f>
        <v>31/12/2023</v>
      </c>
      <c r="E2" s="36" t="str">
        <f>case!D1</f>
        <v>31/12/2022</v>
      </c>
      <c r="F2" s="36" t="str">
        <f>case!E1</f>
        <v>31/12/2021</v>
      </c>
      <c r="G2" s="36" t="str">
        <f>case!F1</f>
        <v>31/12/2020</v>
      </c>
      <c r="H2" s="36" t="str">
        <f>case!G1</f>
        <v>31/12/2019</v>
      </c>
      <c r="I2" s="36" t="str">
        <f>case!H1</f>
        <v>31/12/2018</v>
      </c>
      <c r="J2" s="36" t="str">
        <f>case!I1</f>
        <v>31/12/2017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ht="15.75" customHeight="1">
      <c r="A3" s="38"/>
      <c r="B3" s="39" t="s">
        <v>304</v>
      </c>
      <c r="C3" s="40"/>
      <c r="D3" s="41"/>
      <c r="E3" s="41"/>
      <c r="F3" s="41"/>
      <c r="G3" s="41"/>
      <c r="H3" s="41"/>
      <c r="I3" s="41"/>
      <c r="J3" s="4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42"/>
      <c r="B4" s="43" t="s">
        <v>305</v>
      </c>
      <c r="C4" s="44"/>
      <c r="D4" s="45"/>
      <c r="E4" s="45"/>
      <c r="F4" s="45"/>
      <c r="G4" s="45"/>
      <c r="H4" s="45"/>
      <c r="I4" s="45"/>
      <c r="J4" s="4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42"/>
      <c r="B5" s="43" t="s">
        <v>263</v>
      </c>
      <c r="C5" s="44">
        <f>SUMIF(case!$L:$L,$B5,case!B:B)</f>
        <v>4256399</v>
      </c>
      <c r="D5" s="45">
        <f>SUMIF(case!$L:$L,$B5,case!C:C)</f>
        <v>3896776</v>
      </c>
      <c r="E5" s="45">
        <f>SUMIF(case!$L:$L,$B5,case!D:D)</f>
        <v>2966203</v>
      </c>
      <c r="F5" s="45">
        <f>SUMIF(case!$L:$L,$B5,case!E:E)</f>
        <v>3180616</v>
      </c>
      <c r="G5" s="45">
        <f>SUMIF(case!$L:$L,$B5,case!F:F)</f>
        <v>2787212</v>
      </c>
      <c r="H5" s="45">
        <f>SUMIF(case!$L:$L,$B5,case!G:G)</f>
        <v>2642901</v>
      </c>
      <c r="I5" s="45">
        <f>SUMIF(case!$L:$L,$B5,case!H:H)</f>
        <v>2353521</v>
      </c>
      <c r="J5" s="45">
        <f>SUMIF(case!$L:$L,$B5,case!I:I)</f>
        <v>2381302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42"/>
      <c r="B6" s="43" t="s">
        <v>261</v>
      </c>
      <c r="C6" s="44">
        <f>SUMIF(case!$L:$L,$B6,case!B:B)</f>
        <v>4608814</v>
      </c>
      <c r="D6" s="45">
        <f>SUMIF(case!$L:$L,$B6,case!C:C)</f>
        <v>5040346</v>
      </c>
      <c r="E6" s="45">
        <f>SUMIF(case!$L:$L,$B6,case!D:D)</f>
        <v>5250264</v>
      </c>
      <c r="F6" s="45">
        <f>SUMIF(case!$L:$L,$B6,case!E:E)</f>
        <v>2924371</v>
      </c>
      <c r="G6" s="45">
        <f>SUMIF(case!$L:$L,$B6,case!F:F)</f>
        <v>2556678</v>
      </c>
      <c r="H6" s="45">
        <f>SUMIF(case!$L:$L,$B6,case!G:G)</f>
        <v>3010721</v>
      </c>
      <c r="I6" s="45">
        <f>SUMIF(case!$L:$L,$B6,case!H:H)</f>
        <v>2422241</v>
      </c>
      <c r="J6" s="45">
        <f>SUMIF(case!$L:$L,$B6,case!I:I)</f>
        <v>2070635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42"/>
      <c r="B7" s="43" t="s">
        <v>262</v>
      </c>
      <c r="C7" s="44">
        <f>SUMIF(case!$L:$L,$B7,case!B:B)</f>
        <v>816992</v>
      </c>
      <c r="D7" s="45">
        <f>SUMIF(case!$L:$L,$B7,case!C:C)</f>
        <v>1399880</v>
      </c>
      <c r="E7" s="45">
        <f>SUMIF(case!$L:$L,$B7,case!D:D)</f>
        <v>1028451</v>
      </c>
      <c r="F7" s="45">
        <f>SUMIF(case!$L:$L,$B7,case!E:E)</f>
        <v>116979</v>
      </c>
      <c r="G7" s="45">
        <f>SUMIF(case!$L:$L,$B7,case!F:F)</f>
        <v>104609</v>
      </c>
      <c r="H7" s="45">
        <f>SUMIF(case!$L:$L,$B7,case!G:G)</f>
        <v>261767</v>
      </c>
      <c r="I7" s="45">
        <f>SUMIF(case!$L:$L,$B7,case!H:H)</f>
        <v>83114</v>
      </c>
      <c r="J7" s="45">
        <f>SUMIF(case!$L:$L,$B7,case!I:I)</f>
        <v>73755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38"/>
      <c r="B8" s="46" t="s">
        <v>306</v>
      </c>
      <c r="C8" s="47">
        <f t="shared" ref="C8:J8" si="1">SUM(C5:C7)</f>
        <v>9682205</v>
      </c>
      <c r="D8" s="48">
        <f t="shared" si="1"/>
        <v>10337002</v>
      </c>
      <c r="E8" s="48">
        <f t="shared" si="1"/>
        <v>9244918</v>
      </c>
      <c r="F8" s="48">
        <f t="shared" si="1"/>
        <v>6221966</v>
      </c>
      <c r="G8" s="48">
        <f t="shared" si="1"/>
        <v>5448499</v>
      </c>
      <c r="H8" s="48">
        <f t="shared" si="1"/>
        <v>5915389</v>
      </c>
      <c r="I8" s="48">
        <f t="shared" si="1"/>
        <v>4858876</v>
      </c>
      <c r="J8" s="48">
        <f t="shared" si="1"/>
        <v>4525692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42"/>
      <c r="B9" s="43" t="s">
        <v>307</v>
      </c>
      <c r="C9" s="44"/>
      <c r="D9" s="45"/>
      <c r="E9" s="45"/>
      <c r="F9" s="45"/>
      <c r="G9" s="45"/>
      <c r="H9" s="45"/>
      <c r="I9" s="45"/>
      <c r="J9" s="4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42"/>
      <c r="B10" s="43" t="s">
        <v>255</v>
      </c>
      <c r="C10" s="44">
        <f>SUMIF(case!$L:$L,$B10,case!B:B)</f>
        <v>8694725</v>
      </c>
      <c r="D10" s="45">
        <f>SUMIF(case!$L:$L,$B10,case!C:C)</f>
        <v>9017770</v>
      </c>
      <c r="E10" s="45">
        <f>SUMIF(case!$L:$L,$B10,case!D:D)</f>
        <v>9416528</v>
      </c>
      <c r="F10" s="45">
        <f>SUMIF(case!$L:$L,$B10,case!E:E)</f>
        <v>9430510</v>
      </c>
      <c r="G10" s="45">
        <f>SUMIF(case!$L:$L,$B10,case!F:F)</f>
        <v>7025024</v>
      </c>
      <c r="H10" s="45">
        <f>SUMIF(case!$L:$L,$B10,case!G:G)</f>
        <v>2594042</v>
      </c>
      <c r="I10" s="45">
        <f>SUMIF(case!$L:$L,$B10,case!H:H)</f>
        <v>1186419</v>
      </c>
      <c r="J10" s="45">
        <f>SUMIF(case!$L:$L,$B10,case!I:I)</f>
        <v>891818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42"/>
      <c r="B11" s="43" t="s">
        <v>254</v>
      </c>
      <c r="C11" s="44">
        <f>SUMIF(case!$L:$L,$B11,case!B:B)</f>
        <v>89523</v>
      </c>
      <c r="D11" s="45">
        <f>SUMIF(case!$L:$L,$B11,case!C:C)</f>
        <v>106380</v>
      </c>
      <c r="E11" s="45">
        <f>SUMIF(case!$L:$L,$B11,case!D:D)</f>
        <v>139717</v>
      </c>
      <c r="F11" s="45">
        <f>SUMIF(case!$L:$L,$B11,case!E:E)</f>
        <v>76490</v>
      </c>
      <c r="G11" s="45">
        <f>SUMIF(case!$L:$L,$B11,case!F:F)</f>
        <v>33453</v>
      </c>
      <c r="H11" s="45">
        <f>SUMIF(case!$L:$L,$B11,case!G:G)</f>
        <v>7543</v>
      </c>
      <c r="I11" s="45">
        <f>SUMIF(case!$L:$L,$B11,case!H:H)</f>
        <v>0</v>
      </c>
      <c r="J11" s="45">
        <f>SUMIF(case!$L:$L,$B11,case!I:I)</f>
        <v>1977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38"/>
      <c r="B12" s="46" t="s">
        <v>308</v>
      </c>
      <c r="C12" s="47">
        <f t="shared" ref="C12:J12" si="2">SUM(C10:C11)</f>
        <v>8784248</v>
      </c>
      <c r="D12" s="48">
        <f t="shared" si="2"/>
        <v>9124150</v>
      </c>
      <c r="E12" s="48">
        <f t="shared" si="2"/>
        <v>9556245</v>
      </c>
      <c r="F12" s="48">
        <f t="shared" si="2"/>
        <v>9507000</v>
      </c>
      <c r="G12" s="48">
        <f t="shared" si="2"/>
        <v>7058477</v>
      </c>
      <c r="H12" s="48">
        <f t="shared" si="2"/>
        <v>2601585</v>
      </c>
      <c r="I12" s="48">
        <f t="shared" si="2"/>
        <v>1186419</v>
      </c>
      <c r="J12" s="48">
        <f t="shared" si="2"/>
        <v>893795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42"/>
      <c r="B13" s="43" t="s">
        <v>309</v>
      </c>
      <c r="C13" s="44"/>
      <c r="D13" s="45"/>
      <c r="E13" s="45"/>
      <c r="F13" s="45"/>
      <c r="G13" s="45"/>
      <c r="H13" s="45"/>
      <c r="I13" s="45"/>
      <c r="J13" s="45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42"/>
      <c r="B14" s="43" t="s">
        <v>260</v>
      </c>
      <c r="C14" s="44">
        <f>SUMIF(case!$L:$L,$B14,case!B:B)</f>
        <v>0</v>
      </c>
      <c r="D14" s="45">
        <f>SUMIF(case!$L:$L,$B14,case!C:C)</f>
        <v>0</v>
      </c>
      <c r="E14" s="45">
        <f>SUMIF(case!$L:$L,$B14,case!D:D)</f>
        <v>0</v>
      </c>
      <c r="F14" s="45">
        <f>SUMIF(case!$L:$L,$B14,case!E:E)</f>
        <v>0</v>
      </c>
      <c r="G14" s="45">
        <f>SUMIF(case!$L:$L,$B14,case!F:F)</f>
        <v>8192</v>
      </c>
      <c r="H14" s="45">
        <f>SUMIF(case!$L:$L,$B14,case!G:G)</f>
        <v>8192</v>
      </c>
      <c r="I14" s="45">
        <f>SUMIF(case!$L:$L,$B14,case!H:H)</f>
        <v>8192</v>
      </c>
      <c r="J14" s="45">
        <f>SUMIF(case!$L:$L,$B14,case!I:I)</f>
        <v>8192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38"/>
      <c r="B15" s="46" t="s">
        <v>310</v>
      </c>
      <c r="C15" s="47">
        <f t="shared" ref="C15:J15" si="3">SUM(C14)</f>
        <v>0</v>
      </c>
      <c r="D15" s="48">
        <f t="shared" si="3"/>
        <v>0</v>
      </c>
      <c r="E15" s="48">
        <f t="shared" si="3"/>
        <v>0</v>
      </c>
      <c r="F15" s="48">
        <f t="shared" si="3"/>
        <v>0</v>
      </c>
      <c r="G15" s="48">
        <f t="shared" si="3"/>
        <v>8192</v>
      </c>
      <c r="H15" s="48">
        <f t="shared" si="3"/>
        <v>8192</v>
      </c>
      <c r="I15" s="48">
        <f t="shared" si="3"/>
        <v>8192</v>
      </c>
      <c r="J15" s="48">
        <f t="shared" si="3"/>
        <v>8192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38"/>
      <c r="B16" s="49" t="s">
        <v>311</v>
      </c>
      <c r="C16" s="50">
        <f t="shared" ref="C16:J16" si="4">C8+C12+C15</f>
        <v>18466453</v>
      </c>
      <c r="D16" s="51">
        <f t="shared" si="4"/>
        <v>19461152</v>
      </c>
      <c r="E16" s="51">
        <f t="shared" si="4"/>
        <v>18801163</v>
      </c>
      <c r="F16" s="51">
        <f t="shared" si="4"/>
        <v>15728966</v>
      </c>
      <c r="G16" s="51">
        <f t="shared" si="4"/>
        <v>12515168</v>
      </c>
      <c r="H16" s="51">
        <f t="shared" si="4"/>
        <v>8525166</v>
      </c>
      <c r="I16" s="51">
        <f t="shared" si="4"/>
        <v>6053487</v>
      </c>
      <c r="J16" s="51">
        <f t="shared" si="4"/>
        <v>5427679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42"/>
      <c r="B17" s="43"/>
      <c r="C17" s="44"/>
      <c r="D17" s="45"/>
      <c r="E17" s="45"/>
      <c r="F17" s="45"/>
      <c r="G17" s="45"/>
      <c r="H17" s="45"/>
      <c r="I17" s="45"/>
      <c r="J17" s="45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38"/>
      <c r="B18" s="39" t="s">
        <v>312</v>
      </c>
      <c r="C18" s="40"/>
      <c r="D18" s="41"/>
      <c r="E18" s="41"/>
      <c r="F18" s="41"/>
      <c r="G18" s="41"/>
      <c r="H18" s="41"/>
      <c r="I18" s="41"/>
      <c r="J18" s="4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42"/>
      <c r="B19" s="43" t="s">
        <v>264</v>
      </c>
      <c r="C19" s="44">
        <f>SUMIF(case!$L:$L,$B19,case!B:B)</f>
        <v>23274</v>
      </c>
      <c r="D19" s="45">
        <f>SUMIF(case!$L:$L,$B19,case!C:C)</f>
        <v>142981</v>
      </c>
      <c r="E19" s="45">
        <f>SUMIF(case!$L:$L,$B19,case!D:D)</f>
        <v>705663</v>
      </c>
      <c r="F19" s="45">
        <f>SUMIF(case!$L:$L,$B19,case!E:E)</f>
        <v>147272</v>
      </c>
      <c r="G19" s="45">
        <f>SUMIF(case!$L:$L,$B19,case!F:F)</f>
        <v>284700</v>
      </c>
      <c r="H19" s="45">
        <f>SUMIF(case!$L:$L,$B19,case!G:G)</f>
        <v>175791</v>
      </c>
      <c r="I19" s="45">
        <f>SUMIF(case!$L:$L,$B19,case!H:H)</f>
        <v>57954</v>
      </c>
      <c r="J19" s="45">
        <f>SUMIF(case!$L:$L,$B19,case!I:I)</f>
        <v>4758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42"/>
      <c r="B20" s="43" t="s">
        <v>265</v>
      </c>
      <c r="C20" s="44">
        <f>SUMIF(case!$L:$L,$B20,case!B:B)</f>
        <v>0</v>
      </c>
      <c r="D20" s="45">
        <f>SUMIF(case!$L:$L,$B20,case!C:C)</f>
        <v>0</v>
      </c>
      <c r="E20" s="45">
        <f>SUMIF(case!$L:$L,$B20,case!D:D)</f>
        <v>0</v>
      </c>
      <c r="F20" s="45">
        <f>SUMIF(case!$L:$L,$B20,case!E:E)</f>
        <v>0</v>
      </c>
      <c r="G20" s="45">
        <f>SUMIF(case!$L:$L,$B20,case!F:F)</f>
        <v>0</v>
      </c>
      <c r="H20" s="45">
        <f>SUMIF(case!$L:$L,$B20,case!G:G)</f>
        <v>0</v>
      </c>
      <c r="I20" s="45">
        <f>SUMIF(case!$L:$L,$B20,case!H:H)</f>
        <v>0</v>
      </c>
      <c r="J20" s="45">
        <f>SUMIF(case!$L:$L,$B20,case!I:I)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38"/>
      <c r="B21" s="49" t="s">
        <v>313</v>
      </c>
      <c r="C21" s="50">
        <f t="shared" ref="C21:J21" si="5">SUM(C19:C20)</f>
        <v>23274</v>
      </c>
      <c r="D21" s="51">
        <f t="shared" si="5"/>
        <v>142981</v>
      </c>
      <c r="E21" s="51">
        <f t="shared" si="5"/>
        <v>705663</v>
      </c>
      <c r="F21" s="51">
        <f t="shared" si="5"/>
        <v>147272</v>
      </c>
      <c r="G21" s="51">
        <f t="shared" si="5"/>
        <v>284700</v>
      </c>
      <c r="H21" s="51">
        <f t="shared" si="5"/>
        <v>175791</v>
      </c>
      <c r="I21" s="51">
        <f t="shared" si="5"/>
        <v>57954</v>
      </c>
      <c r="J21" s="51">
        <f t="shared" si="5"/>
        <v>4758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42"/>
      <c r="B22" s="43"/>
      <c r="C22" s="44"/>
      <c r="D22" s="45"/>
      <c r="E22" s="45"/>
      <c r="F22" s="45"/>
      <c r="G22" s="45"/>
      <c r="H22" s="45"/>
      <c r="I22" s="45"/>
      <c r="J22" s="45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38"/>
      <c r="B23" s="39" t="s">
        <v>314</v>
      </c>
      <c r="C23" s="40"/>
      <c r="D23" s="41"/>
      <c r="E23" s="41"/>
      <c r="F23" s="41"/>
      <c r="G23" s="41"/>
      <c r="H23" s="41"/>
      <c r="I23" s="41"/>
      <c r="J23" s="4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42"/>
      <c r="B24" s="43" t="s">
        <v>259</v>
      </c>
      <c r="C24" s="44">
        <f>SUMIF(case!$L:$L,$B24,case!B:B)</f>
        <v>0</v>
      </c>
      <c r="D24" s="45">
        <f>SUMIF(case!$L:$L,$B24,case!C:C)</f>
        <v>0</v>
      </c>
      <c r="E24" s="45">
        <f>SUMIF(case!$L:$L,$B24,case!D:D)</f>
        <v>0</v>
      </c>
      <c r="F24" s="45">
        <f>SUMIF(case!$L:$L,$B24,case!E:E)</f>
        <v>0</v>
      </c>
      <c r="G24" s="45">
        <f>SUMIF(case!$L:$L,$B24,case!F:F)</f>
        <v>0</v>
      </c>
      <c r="H24" s="45">
        <f>SUMIF(case!$L:$L,$B24,case!G:G)</f>
        <v>0</v>
      </c>
      <c r="I24" s="45">
        <f>SUMIF(case!$L:$L,$B24,case!H:H)</f>
        <v>0</v>
      </c>
      <c r="J24" s="45">
        <f>SUMIF(case!$L:$L,$B24,case!I:I)</f>
        <v>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42"/>
      <c r="B25" s="43" t="s">
        <v>256</v>
      </c>
      <c r="C25" s="44">
        <f>SUMIF(case!$L:$L,$B25,case!B:B)</f>
        <v>58702</v>
      </c>
      <c r="D25" s="45">
        <f>SUMIF(case!$L:$L,$B25,case!C:C)</f>
        <v>58702</v>
      </c>
      <c r="E25" s="45">
        <f>SUMIF(case!$L:$L,$B25,case!D:D)</f>
        <v>58702</v>
      </c>
      <c r="F25" s="45">
        <f>SUMIF(case!$L:$L,$B25,case!E:E)</f>
        <v>58702</v>
      </c>
      <c r="G25" s="45">
        <f>SUMIF(case!$L:$L,$B25,case!F:F)</f>
        <v>6512</v>
      </c>
      <c r="H25" s="45">
        <f>SUMIF(case!$L:$L,$B25,case!G:G)</f>
        <v>6512</v>
      </c>
      <c r="I25" s="45">
        <f>SUMIF(case!$L:$L,$B25,case!H:H)</f>
        <v>6512</v>
      </c>
      <c r="J25" s="45">
        <f>SUMIF(case!$L:$L,$B25,case!I:I)</f>
        <v>6512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42"/>
      <c r="B26" s="43" t="s">
        <v>258</v>
      </c>
      <c r="C26" s="44">
        <f>SUMIF(case!$L:$L,$B26,case!B:B)</f>
        <v>0</v>
      </c>
      <c r="D26" s="45">
        <f>SUMIF(case!$L:$L,$B26,case!C:C)</f>
        <v>0</v>
      </c>
      <c r="E26" s="45">
        <f>SUMIF(case!$L:$L,$B26,case!D:D)</f>
        <v>0</v>
      </c>
      <c r="F26" s="45">
        <f>SUMIF(case!$L:$L,$B26,case!E:E)</f>
        <v>0</v>
      </c>
      <c r="G26" s="45">
        <f>SUMIF(case!$L:$L,$B26,case!F:F)</f>
        <v>0</v>
      </c>
      <c r="H26" s="45">
        <f>SUMIF(case!$L:$L,$B26,case!G:G)</f>
        <v>0</v>
      </c>
      <c r="I26" s="45">
        <f>SUMIF(case!$L:$L,$B26,case!H:H)</f>
        <v>0</v>
      </c>
      <c r="J26" s="45">
        <f>SUMIF(case!$L:$L,$B26,case!I:I)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38"/>
      <c r="B27" s="49" t="s">
        <v>315</v>
      </c>
      <c r="C27" s="50">
        <f t="shared" ref="C27:J27" si="6">SUM(C24:C26)</f>
        <v>58702</v>
      </c>
      <c r="D27" s="51">
        <f t="shared" si="6"/>
        <v>58702</v>
      </c>
      <c r="E27" s="51">
        <f t="shared" si="6"/>
        <v>58702</v>
      </c>
      <c r="F27" s="51">
        <f t="shared" si="6"/>
        <v>58702</v>
      </c>
      <c r="G27" s="51">
        <f t="shared" si="6"/>
        <v>6512</v>
      </c>
      <c r="H27" s="51">
        <f t="shared" si="6"/>
        <v>6512</v>
      </c>
      <c r="I27" s="51">
        <f t="shared" si="6"/>
        <v>6512</v>
      </c>
      <c r="J27" s="51">
        <f t="shared" si="6"/>
        <v>6512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42"/>
      <c r="B28" s="43"/>
      <c r="C28" s="44"/>
      <c r="D28" s="45"/>
      <c r="E28" s="45"/>
      <c r="F28" s="45"/>
      <c r="G28" s="45"/>
      <c r="H28" s="45"/>
      <c r="I28" s="45"/>
      <c r="J28" s="4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38"/>
      <c r="B29" s="39" t="s">
        <v>316</v>
      </c>
      <c r="C29" s="40"/>
      <c r="D29" s="41"/>
      <c r="E29" s="41"/>
      <c r="F29" s="41"/>
      <c r="G29" s="41"/>
      <c r="H29" s="41"/>
      <c r="I29" s="41"/>
      <c r="J29" s="4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42"/>
      <c r="B30" s="43" t="s">
        <v>317</v>
      </c>
      <c r="C30" s="44">
        <f>SUMIF(case!$L:$L,$B30,case!B:B)</f>
        <v>0</v>
      </c>
      <c r="D30" s="45">
        <f>SUMIF(case!$L:$L,$B30,case!C:C)</f>
        <v>0</v>
      </c>
      <c r="E30" s="45">
        <f>SUMIF(case!$L:$L,$B30,case!D:D)</f>
        <v>0</v>
      </c>
      <c r="F30" s="45">
        <f>SUMIF(case!$L:$L,$B30,case!E:E)</f>
        <v>0</v>
      </c>
      <c r="G30" s="45">
        <f>SUMIF(case!$L:$L,$B30,case!F:F)</f>
        <v>0</v>
      </c>
      <c r="H30" s="45">
        <f>SUMIF(case!$L:$L,$B30,case!G:G)</f>
        <v>0</v>
      </c>
      <c r="I30" s="45">
        <f>SUMIF(case!$L:$L,$B30,case!H:H)</f>
        <v>0</v>
      </c>
      <c r="J30" s="45">
        <f>SUMIF(case!$L:$L,$B30,case!I:I)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42"/>
      <c r="B31" s="43" t="s">
        <v>267</v>
      </c>
      <c r="C31" s="44">
        <f>SUMIF(case!$L:$L,$B31,case!B:B)</f>
        <v>242430</v>
      </c>
      <c r="D31" s="45">
        <f>SUMIF(case!$L:$L,$B31,case!C:C)</f>
        <v>891542</v>
      </c>
      <c r="E31" s="45">
        <f>SUMIF(case!$L:$L,$B31,case!D:D)</f>
        <v>1157532</v>
      </c>
      <c r="F31" s="45">
        <f>SUMIF(case!$L:$L,$B31,case!E:E)</f>
        <v>2269671</v>
      </c>
      <c r="G31" s="45">
        <f>SUMIF(case!$L:$L,$B31,case!F:F)</f>
        <v>1988631</v>
      </c>
      <c r="H31" s="45">
        <f>SUMIF(case!$L:$L,$B31,case!G:G)</f>
        <v>603929</v>
      </c>
      <c r="I31" s="45">
        <f>SUMIF(case!$L:$L,$B31,case!H:H)</f>
        <v>337078</v>
      </c>
      <c r="J31" s="45">
        <f>SUMIF(case!$L:$L,$B31,case!I:I)</f>
        <v>712788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42"/>
      <c r="B32" s="43" t="s">
        <v>266</v>
      </c>
      <c r="C32" s="44">
        <f>SUMIF(case!$L:$L,$B32,case!B:B)</f>
        <v>0</v>
      </c>
      <c r="D32" s="45">
        <f>SUMIF(case!$L:$L,$B32,case!C:C)</f>
        <v>0</v>
      </c>
      <c r="E32" s="45">
        <f>SUMIF(case!$L:$L,$B32,case!D:D)</f>
        <v>0</v>
      </c>
      <c r="F32" s="45">
        <f>SUMIF(case!$L:$L,$B32,case!E:E)</f>
        <v>0</v>
      </c>
      <c r="G32" s="45">
        <f>SUMIF(case!$L:$L,$B32,case!F:F)</f>
        <v>0</v>
      </c>
      <c r="H32" s="45">
        <f>SUMIF(case!$L:$L,$B32,case!G:G)</f>
        <v>0</v>
      </c>
      <c r="I32" s="45">
        <f>SUMIF(case!$L:$L,$B32,case!H:H)</f>
        <v>0</v>
      </c>
      <c r="J32" s="45">
        <f>SUMIF(case!$L:$L,$B32,case!I:I)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38"/>
      <c r="B33" s="49" t="s">
        <v>318</v>
      </c>
      <c r="C33" s="50">
        <f t="shared" ref="C33:J33" si="7">SUM(C30:C32)</f>
        <v>242430</v>
      </c>
      <c r="D33" s="51">
        <f t="shared" si="7"/>
        <v>891542</v>
      </c>
      <c r="E33" s="51">
        <f t="shared" si="7"/>
        <v>1157532</v>
      </c>
      <c r="F33" s="51">
        <f t="shared" si="7"/>
        <v>2269671</v>
      </c>
      <c r="G33" s="51">
        <f t="shared" si="7"/>
        <v>1988631</v>
      </c>
      <c r="H33" s="51">
        <f t="shared" si="7"/>
        <v>603929</v>
      </c>
      <c r="I33" s="51">
        <f t="shared" si="7"/>
        <v>337078</v>
      </c>
      <c r="J33" s="51">
        <f t="shared" si="7"/>
        <v>712788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42"/>
      <c r="B34" s="43"/>
      <c r="C34" s="44"/>
      <c r="D34" s="45"/>
      <c r="E34" s="45"/>
      <c r="F34" s="45"/>
      <c r="G34" s="45"/>
      <c r="H34" s="45"/>
      <c r="I34" s="45"/>
      <c r="J34" s="45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38"/>
      <c r="B35" s="52" t="s">
        <v>319</v>
      </c>
      <c r="C35" s="53">
        <f t="shared" ref="C35:J35" si="8">C16+C21+C27+C33</f>
        <v>18790859</v>
      </c>
      <c r="D35" s="54">
        <f t="shared" si="8"/>
        <v>20554377</v>
      </c>
      <c r="E35" s="54">
        <f t="shared" si="8"/>
        <v>20723060</v>
      </c>
      <c r="F35" s="54">
        <f t="shared" si="8"/>
        <v>18204611</v>
      </c>
      <c r="G35" s="54">
        <f t="shared" si="8"/>
        <v>14795011</v>
      </c>
      <c r="H35" s="54">
        <f t="shared" si="8"/>
        <v>9311398</v>
      </c>
      <c r="I35" s="54">
        <f t="shared" si="8"/>
        <v>6455031</v>
      </c>
      <c r="J35" s="54">
        <f t="shared" si="8"/>
        <v>6151737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42"/>
      <c r="B36" s="42"/>
      <c r="C36" s="24"/>
      <c r="D36" s="24"/>
      <c r="E36" s="24"/>
      <c r="F36" s="24"/>
      <c r="G36" s="24"/>
      <c r="H36" s="24"/>
      <c r="I36" s="24"/>
      <c r="J36" s="24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42"/>
      <c r="B37" s="42" t="s">
        <v>320</v>
      </c>
      <c r="C37" s="24">
        <f>case!B95</f>
        <v>18790859</v>
      </c>
      <c r="D37" s="24">
        <f>case!C95</f>
        <v>20554377</v>
      </c>
      <c r="E37" s="24">
        <f>case!D95</f>
        <v>20723060</v>
      </c>
      <c r="F37" s="24">
        <f>case!E95</f>
        <v>18204611</v>
      </c>
      <c r="G37" s="24">
        <f>case!F95</f>
        <v>14795011</v>
      </c>
      <c r="H37" s="24">
        <f>case!G95</f>
        <v>9311398</v>
      </c>
      <c r="I37" s="24">
        <f>case!H95</f>
        <v>6455031</v>
      </c>
      <c r="J37" s="24">
        <f>case!I95</f>
        <v>6151737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42"/>
      <c r="B38" s="42" t="s">
        <v>321</v>
      </c>
      <c r="C38" s="24">
        <f t="shared" ref="C38:J38" si="9">C37-C35</f>
        <v>0</v>
      </c>
      <c r="D38" s="24">
        <f t="shared" si="9"/>
        <v>0</v>
      </c>
      <c r="E38" s="24">
        <f t="shared" si="9"/>
        <v>0</v>
      </c>
      <c r="F38" s="24">
        <f t="shared" si="9"/>
        <v>0</v>
      </c>
      <c r="G38" s="24">
        <f t="shared" si="9"/>
        <v>0</v>
      </c>
      <c r="H38" s="24">
        <f t="shared" si="9"/>
        <v>0</v>
      </c>
      <c r="I38" s="24">
        <f t="shared" si="9"/>
        <v>0</v>
      </c>
      <c r="J38" s="24">
        <f t="shared" si="9"/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42"/>
      <c r="B39" s="42" t="s">
        <v>322</v>
      </c>
      <c r="C39" s="24">
        <f>case!B2+case!B46</f>
        <v>0</v>
      </c>
      <c r="D39" s="24">
        <f>case!C2+case!C46</f>
        <v>0</v>
      </c>
      <c r="E39" s="24">
        <f>case!D2+case!D46</f>
        <v>0</v>
      </c>
      <c r="F39" s="24">
        <f>case!E2+case!E46</f>
        <v>0</v>
      </c>
      <c r="G39" s="24">
        <f>case!F2+case!F46</f>
        <v>0</v>
      </c>
      <c r="H39" s="24">
        <f>case!G2+case!G46</f>
        <v>0</v>
      </c>
      <c r="I39" s="24">
        <f>case!H2+case!H46</f>
        <v>0</v>
      </c>
      <c r="J39" s="24">
        <f>case!I2+case!I46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42"/>
      <c r="B40" s="42" t="s">
        <v>323</v>
      </c>
      <c r="C40" s="24">
        <f t="shared" ref="C40:J40" si="10">C38+C39</f>
        <v>0</v>
      </c>
      <c r="D40" s="24">
        <f t="shared" si="10"/>
        <v>0</v>
      </c>
      <c r="E40" s="24">
        <f t="shared" si="10"/>
        <v>0</v>
      </c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42"/>
      <c r="B41" s="42"/>
      <c r="C41" s="24"/>
      <c r="D41" s="24"/>
      <c r="E41" s="24"/>
      <c r="F41" s="24"/>
      <c r="G41" s="24"/>
      <c r="H41" s="24"/>
      <c r="I41" s="24"/>
      <c r="J41" s="24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42"/>
      <c r="B42" s="42"/>
      <c r="C42" s="24"/>
      <c r="D42" s="24"/>
      <c r="E42" s="24"/>
      <c r="F42" s="24"/>
      <c r="G42" s="24"/>
      <c r="H42" s="24"/>
      <c r="I42" s="24"/>
      <c r="J42" s="24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42"/>
      <c r="B43" s="42"/>
      <c r="C43" s="24"/>
      <c r="D43" s="24"/>
      <c r="E43" s="24"/>
      <c r="F43" s="24"/>
      <c r="G43" s="24"/>
      <c r="H43" s="24"/>
      <c r="I43" s="24"/>
      <c r="J43" s="24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38"/>
      <c r="B44" s="38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34"/>
      <c r="B45" s="35" t="s">
        <v>324</v>
      </c>
      <c r="C45" s="15" t="str">
        <f t="shared" ref="C45:J45" si="11">C2</f>
        <v>31/12/2024</v>
      </c>
      <c r="D45" s="15" t="str">
        <f t="shared" si="11"/>
        <v>31/12/2023</v>
      </c>
      <c r="E45" s="15" t="str">
        <f t="shared" si="11"/>
        <v>31/12/2022</v>
      </c>
      <c r="F45" s="15" t="str">
        <f t="shared" si="11"/>
        <v>31/12/2021</v>
      </c>
      <c r="G45" s="15" t="str">
        <f t="shared" si="11"/>
        <v>31/12/2020</v>
      </c>
      <c r="H45" s="15" t="str">
        <f t="shared" si="11"/>
        <v>31/12/2019</v>
      </c>
      <c r="I45" s="15" t="str">
        <f t="shared" si="11"/>
        <v>31/12/2018</v>
      </c>
      <c r="J45" s="15" t="str">
        <f t="shared" si="11"/>
        <v>31/12/2017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ht="15.75" customHeight="1">
      <c r="A46" s="38"/>
      <c r="B46" s="39" t="s">
        <v>325</v>
      </c>
      <c r="C46" s="40"/>
      <c r="D46" s="41"/>
      <c r="E46" s="41"/>
      <c r="F46" s="41"/>
      <c r="G46" s="41"/>
      <c r="H46" s="41"/>
      <c r="I46" s="41"/>
      <c r="J46" s="41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42"/>
      <c r="B47" s="43" t="s">
        <v>326</v>
      </c>
      <c r="C47" s="44">
        <f>SUMIF(case!$L:$L,$B47,case!B:B)</f>
        <v>0</v>
      </c>
      <c r="D47" s="45">
        <f>SUMIF(case!$L:$L,$B47,case!C:C)</f>
        <v>0</v>
      </c>
      <c r="E47" s="45">
        <f>SUMIF(case!$L:$L,$B47,case!D:D)</f>
        <v>0</v>
      </c>
      <c r="F47" s="45">
        <f>SUMIF(case!$L:$L,$B47,case!E:E)</f>
        <v>0</v>
      </c>
      <c r="G47" s="45">
        <f>SUMIF(case!$L:$L,$B47,case!F:F)</f>
        <v>0</v>
      </c>
      <c r="H47" s="45">
        <f>SUMIF(case!$L:$L,$B47,case!G:G)</f>
        <v>0</v>
      </c>
      <c r="I47" s="45">
        <f>SUMIF(case!$L:$L,$B47,case!H:H)</f>
        <v>0</v>
      </c>
      <c r="J47" s="45">
        <f>SUMIF(case!$L:$L,$B47,case!I:I)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42"/>
      <c r="B48" s="43" t="s">
        <v>281</v>
      </c>
      <c r="C48" s="44">
        <f>SUMIF(case!$L:$L,$B48,case!B:B)</f>
        <v>2274193</v>
      </c>
      <c r="D48" s="45">
        <f>SUMIF(case!$L:$L,$B48,case!C:C)</f>
        <v>2343088</v>
      </c>
      <c r="E48" s="45">
        <f>SUMIF(case!$L:$L,$B48,case!D:D)</f>
        <v>2517619</v>
      </c>
      <c r="F48" s="45">
        <f>SUMIF(case!$L:$L,$B48,case!E:E)</f>
        <v>2142223</v>
      </c>
      <c r="G48" s="45">
        <f>SUMIF(case!$L:$L,$B48,case!F:F)</f>
        <v>1385728</v>
      </c>
      <c r="H48" s="45">
        <f>SUMIF(case!$L:$L,$B48,case!G:G)</f>
        <v>2083244</v>
      </c>
      <c r="I48" s="45">
        <f>SUMIF(case!$L:$L,$B48,case!H:H)</f>
        <v>1195746</v>
      </c>
      <c r="J48" s="45">
        <f>SUMIF(case!$L:$L,$B48,case!I:I)</f>
        <v>1264218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42"/>
      <c r="B49" s="43" t="s">
        <v>327</v>
      </c>
      <c r="C49" s="44">
        <f>SUMIF(case!$L:$L,$B49,case!B:B)</f>
        <v>0</v>
      </c>
      <c r="D49" s="45">
        <f>SUMIF(case!$L:$L,$B49,case!C:C)</f>
        <v>0</v>
      </c>
      <c r="E49" s="45">
        <f>SUMIF(case!$L:$L,$B49,case!D:D)</f>
        <v>0</v>
      </c>
      <c r="F49" s="45">
        <f>SUMIF(case!$L:$L,$B49,case!E:E)</f>
        <v>0</v>
      </c>
      <c r="G49" s="45">
        <f>SUMIF(case!$L:$L,$B49,case!F:F)</f>
        <v>0</v>
      </c>
      <c r="H49" s="45">
        <f>SUMIF(case!$L:$L,$B49,case!G:G)</f>
        <v>0</v>
      </c>
      <c r="I49" s="45">
        <f>SUMIF(case!$L:$L,$B49,case!H:H)</f>
        <v>0</v>
      </c>
      <c r="J49" s="45">
        <f>SUMIF(case!$L:$L,$B49,case!I:I)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42"/>
      <c r="B50" s="43" t="s">
        <v>279</v>
      </c>
      <c r="C50" s="44">
        <f>SUMIF(case!$L:$L,$B50,case!B:B)</f>
        <v>1755910</v>
      </c>
      <c r="D50" s="45">
        <f>SUMIF(case!$L:$L,$B50,case!C:C)</f>
        <v>1902846</v>
      </c>
      <c r="E50" s="45">
        <f>SUMIF(case!$L:$L,$B50,case!D:D)</f>
        <v>1988017</v>
      </c>
      <c r="F50" s="45">
        <f>SUMIF(case!$L:$L,$B50,case!E:E)</f>
        <v>743242</v>
      </c>
      <c r="G50" s="45">
        <f>SUMIF(case!$L:$L,$B50,case!F:F)</f>
        <v>648237</v>
      </c>
      <c r="H50" s="45">
        <f>SUMIF(case!$L:$L,$B50,case!G:G)</f>
        <v>547878</v>
      </c>
      <c r="I50" s="45">
        <f>SUMIF(case!$L:$L,$B50,case!H:H)</f>
        <v>447728</v>
      </c>
      <c r="J50" s="45">
        <f>SUMIF(case!$L:$L,$B50,case!I:I)</f>
        <v>399886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38"/>
      <c r="B51" s="46" t="s">
        <v>328</v>
      </c>
      <c r="C51" s="44">
        <f t="shared" ref="C51:J51" si="12">SUM(C48:C50)</f>
        <v>4030103</v>
      </c>
      <c r="D51" s="45">
        <f t="shared" si="12"/>
        <v>4245934</v>
      </c>
      <c r="E51" s="45">
        <f t="shared" si="12"/>
        <v>4505636</v>
      </c>
      <c r="F51" s="45">
        <f t="shared" si="12"/>
        <v>2885465</v>
      </c>
      <c r="G51" s="45">
        <f t="shared" si="12"/>
        <v>2033965</v>
      </c>
      <c r="H51" s="45">
        <f t="shared" si="12"/>
        <v>2631122</v>
      </c>
      <c r="I51" s="45">
        <f t="shared" si="12"/>
        <v>1643474</v>
      </c>
      <c r="J51" s="45">
        <f t="shared" si="12"/>
        <v>1664104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42"/>
      <c r="B52" s="43" t="s">
        <v>329</v>
      </c>
      <c r="C52" s="44">
        <f>SUMIF(case!$L:$L,$B52,case!B:B)</f>
        <v>0</v>
      </c>
      <c r="D52" s="45">
        <f>SUMIF(case!$L:$L,$B52,case!C:C)</f>
        <v>0</v>
      </c>
      <c r="E52" s="45">
        <f>SUMIF(case!$L:$L,$B52,case!D:D)</f>
        <v>0</v>
      </c>
      <c r="F52" s="45">
        <f>SUMIF(case!$L:$L,$B52,case!E:E)</f>
        <v>0</v>
      </c>
      <c r="G52" s="45">
        <f>SUMIF(case!$L:$L,$B52,case!F:F)</f>
        <v>0</v>
      </c>
      <c r="H52" s="45">
        <f>SUMIF(case!$L:$L,$B52,case!G:G)</f>
        <v>0</v>
      </c>
      <c r="I52" s="45">
        <f>SUMIF(case!$L:$L,$B52,case!H:H)</f>
        <v>0</v>
      </c>
      <c r="J52" s="45">
        <f>SUMIF(case!$L:$L,$B52,case!I:I)</f>
        <v>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42"/>
      <c r="B53" s="43" t="s">
        <v>276</v>
      </c>
      <c r="C53" s="44">
        <f>SUMIF(case!$L:$L,$B53,case!B:B)</f>
        <v>191675</v>
      </c>
      <c r="D53" s="45">
        <f>SUMIF(case!$L:$L,$B53,case!C:C)</f>
        <v>179286</v>
      </c>
      <c r="E53" s="45">
        <f>SUMIF(case!$L:$L,$B53,case!D:D)</f>
        <v>189098</v>
      </c>
      <c r="F53" s="45">
        <f>SUMIF(case!$L:$L,$B53,case!E:E)</f>
        <v>197380</v>
      </c>
      <c r="G53" s="45">
        <f>SUMIF(case!$L:$L,$B53,case!F:F)</f>
        <v>174392</v>
      </c>
      <c r="H53" s="45">
        <f>SUMIF(case!$L:$L,$B53,case!G:G)</f>
        <v>206556</v>
      </c>
      <c r="I53" s="45">
        <f>SUMIF(case!$L:$L,$B53,case!H:H)</f>
        <v>187238</v>
      </c>
      <c r="J53" s="45">
        <f>SUMIF(case!$L:$L,$B53,case!I:I)</f>
        <v>173667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42"/>
      <c r="B54" s="43" t="s">
        <v>280</v>
      </c>
      <c r="C54" s="44">
        <f>SUMIF(case!$L:$L,$B54,case!B:B)</f>
        <v>0</v>
      </c>
      <c r="D54" s="45">
        <f>SUMIF(case!$L:$L,$B54,case!C:C)</f>
        <v>0</v>
      </c>
      <c r="E54" s="45">
        <f>SUMIF(case!$L:$L,$B54,case!D:D)</f>
        <v>0</v>
      </c>
      <c r="F54" s="45">
        <f>SUMIF(case!$L:$L,$B54,case!E:E)</f>
        <v>0</v>
      </c>
      <c r="G54" s="45">
        <f>SUMIF(case!$L:$L,$B54,case!F:F)</f>
        <v>0</v>
      </c>
      <c r="H54" s="45">
        <f>SUMIF(case!$L:$L,$B54,case!G:G)</f>
        <v>0</v>
      </c>
      <c r="I54" s="45">
        <f>SUMIF(case!$L:$L,$B54,case!H:H)</f>
        <v>0</v>
      </c>
      <c r="J54" s="45">
        <f>SUMIF(case!$L:$L,$B54,case!I:I)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38"/>
      <c r="B55" s="46" t="s">
        <v>330</v>
      </c>
      <c r="C55" s="44">
        <f t="shared" ref="C55:J55" si="13">SUM(C53:C54)</f>
        <v>191675</v>
      </c>
      <c r="D55" s="45">
        <f t="shared" si="13"/>
        <v>179286</v>
      </c>
      <c r="E55" s="45">
        <f t="shared" si="13"/>
        <v>189098</v>
      </c>
      <c r="F55" s="45">
        <f t="shared" si="13"/>
        <v>197380</v>
      </c>
      <c r="G55" s="45">
        <f t="shared" si="13"/>
        <v>174392</v>
      </c>
      <c r="H55" s="45">
        <f t="shared" si="13"/>
        <v>206556</v>
      </c>
      <c r="I55" s="45">
        <f t="shared" si="13"/>
        <v>187238</v>
      </c>
      <c r="J55" s="45">
        <f t="shared" si="13"/>
        <v>173667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38"/>
      <c r="B56" s="49" t="s">
        <v>331</v>
      </c>
      <c r="C56" s="55">
        <f t="shared" ref="C56:J56" si="14">C51+C55</f>
        <v>4221778</v>
      </c>
      <c r="D56" s="56">
        <f t="shared" si="14"/>
        <v>4425220</v>
      </c>
      <c r="E56" s="56">
        <f t="shared" si="14"/>
        <v>4694734</v>
      </c>
      <c r="F56" s="56">
        <f t="shared" si="14"/>
        <v>3082845</v>
      </c>
      <c r="G56" s="56">
        <f t="shared" si="14"/>
        <v>2208357</v>
      </c>
      <c r="H56" s="56">
        <f t="shared" si="14"/>
        <v>2837678</v>
      </c>
      <c r="I56" s="56">
        <f t="shared" si="14"/>
        <v>1830712</v>
      </c>
      <c r="J56" s="56">
        <f t="shared" si="14"/>
        <v>1837771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42"/>
      <c r="B57" s="43"/>
      <c r="C57" s="44"/>
      <c r="D57" s="45"/>
      <c r="E57" s="45"/>
      <c r="F57" s="45"/>
      <c r="G57" s="45"/>
      <c r="H57" s="45"/>
      <c r="I57" s="45"/>
      <c r="J57" s="45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38"/>
      <c r="B58" s="39" t="s">
        <v>332</v>
      </c>
      <c r="C58" s="40"/>
      <c r="D58" s="41"/>
      <c r="E58" s="41"/>
      <c r="F58" s="41"/>
      <c r="G58" s="41"/>
      <c r="H58" s="41"/>
      <c r="I58" s="41"/>
      <c r="J58" s="41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42"/>
      <c r="B59" s="43" t="s">
        <v>283</v>
      </c>
      <c r="C59" s="44">
        <f>SUMIF(case!$L:$L,$B59,case!B:B)</f>
        <v>305861</v>
      </c>
      <c r="D59" s="45">
        <f>SUMIF(case!$L:$L,$B59,case!C:C)</f>
        <v>221774</v>
      </c>
      <c r="E59" s="45">
        <f>SUMIF(case!$L:$L,$B59,case!D:D)</f>
        <v>130071</v>
      </c>
      <c r="F59" s="45">
        <f>SUMIF(case!$L:$L,$B59,case!E:E)</f>
        <v>171771</v>
      </c>
      <c r="G59" s="45">
        <f>SUMIF(case!$L:$L,$B59,case!F:F)</f>
        <v>152360</v>
      </c>
      <c r="H59" s="45">
        <f>SUMIF(case!$L:$L,$B59,case!G:G)</f>
        <v>109971</v>
      </c>
      <c r="I59" s="45">
        <f>SUMIF(case!$L:$L,$B59,case!H:H)</f>
        <v>216414</v>
      </c>
      <c r="J59" s="45">
        <f>SUMIF(case!$L:$L,$B59,case!I:I)</f>
        <v>303692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42"/>
      <c r="B60" s="43" t="s">
        <v>274</v>
      </c>
      <c r="C60" s="44">
        <f>SUMIF(case!$L:$L,$B60,case!B:B)</f>
        <v>0</v>
      </c>
      <c r="D60" s="45">
        <f>SUMIF(case!$L:$L,$B60,case!C:C)</f>
        <v>0</v>
      </c>
      <c r="E60" s="45">
        <f>SUMIF(case!$L:$L,$B60,case!D:D)</f>
        <v>0</v>
      </c>
      <c r="F60" s="45">
        <f>SUMIF(case!$L:$L,$B60,case!E:E)</f>
        <v>0</v>
      </c>
      <c r="G60" s="45">
        <f>SUMIF(case!$L:$L,$B60,case!F:F)</f>
        <v>0</v>
      </c>
      <c r="H60" s="45">
        <f>SUMIF(case!$L:$L,$B60,case!G:G)</f>
        <v>0</v>
      </c>
      <c r="I60" s="45">
        <f>SUMIF(case!$L:$L,$B60,case!H:H)</f>
        <v>0</v>
      </c>
      <c r="J60" s="45">
        <f>SUMIF(case!$L:$L,$B60,case!I:I)</f>
        <v>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42"/>
      <c r="B61" s="43" t="s">
        <v>273</v>
      </c>
      <c r="C61" s="44">
        <f>SUMIF(case!$L:$L,$B61,case!B:B)</f>
        <v>0</v>
      </c>
      <c r="D61" s="45">
        <f>SUMIF(case!$L:$L,$B61,case!C:C)</f>
        <v>0</v>
      </c>
      <c r="E61" s="45">
        <f>SUMIF(case!$L:$L,$B61,case!D:D)</f>
        <v>0</v>
      </c>
      <c r="F61" s="45">
        <f>SUMIF(case!$L:$L,$B61,case!E:E)</f>
        <v>0</v>
      </c>
      <c r="G61" s="45">
        <f>SUMIF(case!$L:$L,$B61,case!F:F)</f>
        <v>0</v>
      </c>
      <c r="H61" s="45">
        <f>SUMIF(case!$L:$L,$B61,case!G:G)</f>
        <v>0</v>
      </c>
      <c r="I61" s="45">
        <f>SUMIF(case!$L:$L,$B61,case!H:H)</f>
        <v>41042</v>
      </c>
      <c r="J61" s="45">
        <f>SUMIF(case!$L:$L,$B61,case!I:I)</f>
        <v>41042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38"/>
      <c r="B62" s="49" t="s">
        <v>333</v>
      </c>
      <c r="C62" s="55">
        <f t="shared" ref="C62:J62" si="15">SUM(C59:C61)</f>
        <v>305861</v>
      </c>
      <c r="D62" s="56">
        <f t="shared" si="15"/>
        <v>221774</v>
      </c>
      <c r="E62" s="56">
        <f t="shared" si="15"/>
        <v>130071</v>
      </c>
      <c r="F62" s="56">
        <f t="shared" si="15"/>
        <v>171771</v>
      </c>
      <c r="G62" s="56">
        <f t="shared" si="15"/>
        <v>152360</v>
      </c>
      <c r="H62" s="56">
        <f t="shared" si="15"/>
        <v>109971</v>
      </c>
      <c r="I62" s="56">
        <f t="shared" si="15"/>
        <v>257456</v>
      </c>
      <c r="J62" s="56">
        <f t="shared" si="15"/>
        <v>344734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42"/>
      <c r="B63" s="43"/>
      <c r="C63" s="44"/>
      <c r="D63" s="45"/>
      <c r="E63" s="45"/>
      <c r="F63" s="45"/>
      <c r="G63" s="45"/>
      <c r="H63" s="45"/>
      <c r="I63" s="45"/>
      <c r="J63" s="45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38"/>
      <c r="B64" s="39" t="s">
        <v>334</v>
      </c>
      <c r="C64" s="40"/>
      <c r="D64" s="41"/>
      <c r="E64" s="41"/>
      <c r="F64" s="41"/>
      <c r="G64" s="41"/>
      <c r="H64" s="41"/>
      <c r="I64" s="41"/>
      <c r="J64" s="41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42"/>
      <c r="B65" s="43" t="s">
        <v>282</v>
      </c>
      <c r="C65" s="44">
        <f>SUMIF(case!$L:$L,$B65,case!B:B)</f>
        <v>0</v>
      </c>
      <c r="D65" s="45">
        <f>SUMIF(case!$L:$L,$B65,case!C:C)</f>
        <v>0</v>
      </c>
      <c r="E65" s="45">
        <f>SUMIF(case!$L:$L,$B65,case!D:D)</f>
        <v>0</v>
      </c>
      <c r="F65" s="45">
        <f>SUMIF(case!$L:$L,$B65,case!E:E)</f>
        <v>0</v>
      </c>
      <c r="G65" s="45">
        <f>SUMIF(case!$L:$L,$B65,case!F:F)</f>
        <v>0</v>
      </c>
      <c r="H65" s="45">
        <f>SUMIF(case!$L:$L,$B65,case!G:G)</f>
        <v>0</v>
      </c>
      <c r="I65" s="45">
        <f>SUMIF(case!$L:$L,$B65,case!H:H)</f>
        <v>0</v>
      </c>
      <c r="J65" s="45">
        <f>SUMIF(case!$L:$L,$B65,case!I:I)</f>
        <v>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38"/>
      <c r="B66" s="49" t="s">
        <v>335</v>
      </c>
      <c r="C66" s="55">
        <f t="shared" ref="C66:J66" si="16">C65</f>
        <v>0</v>
      </c>
      <c r="D66" s="56">
        <f t="shared" si="16"/>
        <v>0</v>
      </c>
      <c r="E66" s="56">
        <f t="shared" si="16"/>
        <v>0</v>
      </c>
      <c r="F66" s="56">
        <f t="shared" si="16"/>
        <v>0</v>
      </c>
      <c r="G66" s="56">
        <f t="shared" si="16"/>
        <v>0</v>
      </c>
      <c r="H66" s="56">
        <f t="shared" si="16"/>
        <v>0</v>
      </c>
      <c r="I66" s="56">
        <f t="shared" si="16"/>
        <v>0</v>
      </c>
      <c r="J66" s="56">
        <f t="shared" si="16"/>
        <v>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42"/>
      <c r="B67" s="43"/>
      <c r="C67" s="44"/>
      <c r="D67" s="45"/>
      <c r="E67" s="45"/>
      <c r="F67" s="45"/>
      <c r="G67" s="45"/>
      <c r="H67" s="45"/>
      <c r="I67" s="45"/>
      <c r="J67" s="45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38"/>
      <c r="B68" s="39" t="s">
        <v>336</v>
      </c>
      <c r="C68" s="40"/>
      <c r="D68" s="41"/>
      <c r="E68" s="41"/>
      <c r="F68" s="41"/>
      <c r="G68" s="41"/>
      <c r="H68" s="41"/>
      <c r="I68" s="41"/>
      <c r="J68" s="41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42"/>
      <c r="B69" s="43" t="s">
        <v>278</v>
      </c>
      <c r="C69" s="44">
        <f>SUMIF(case!$L:$L,$B69,case!B:B)</f>
        <v>5110204</v>
      </c>
      <c r="D69" s="45">
        <f>SUMIF(case!$L:$L,$B69,case!C:C)</f>
        <v>6691873</v>
      </c>
      <c r="E69" s="45">
        <f>SUMIF(case!$L:$L,$B69,case!D:D)</f>
        <v>6717513</v>
      </c>
      <c r="F69" s="45">
        <f>SUMIF(case!$L:$L,$B69,case!E:E)</f>
        <v>7372195</v>
      </c>
      <c r="G69" s="45">
        <f>SUMIF(case!$L:$L,$B69,case!F:F)</f>
        <v>6304053</v>
      </c>
      <c r="H69" s="45">
        <f>SUMIF(case!$L:$L,$B69,case!G:G)</f>
        <v>588287</v>
      </c>
      <c r="I69" s="45">
        <f>SUMIF(case!$L:$L,$B69,case!H:H)</f>
        <v>808395</v>
      </c>
      <c r="J69" s="45">
        <f>SUMIF(case!$L:$L,$B69,case!I:I)</f>
        <v>952264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42"/>
      <c r="B70" s="43" t="s">
        <v>277</v>
      </c>
      <c r="C70" s="44">
        <f>SUMIF(case!$L:$L,$B70,case!B:B)</f>
        <v>3395729</v>
      </c>
      <c r="D70" s="45">
        <f>SUMIF(case!$L:$L,$B70,case!C:C)</f>
        <v>3987958</v>
      </c>
      <c r="E70" s="45">
        <f>SUMIF(case!$L:$L,$B70,case!D:D)</f>
        <v>4519855</v>
      </c>
      <c r="F70" s="45">
        <f>SUMIF(case!$L:$L,$B70,case!E:E)</f>
        <v>3495497</v>
      </c>
      <c r="G70" s="45">
        <f>SUMIF(case!$L:$L,$B70,case!F:F)</f>
        <v>2924240</v>
      </c>
      <c r="H70" s="45">
        <f>SUMIF(case!$L:$L,$B70,case!G:G)</f>
        <v>3390744</v>
      </c>
      <c r="I70" s="45">
        <f>SUMIF(case!$L:$L,$B70,case!H:H)</f>
        <v>1825387</v>
      </c>
      <c r="J70" s="45">
        <f>SUMIF(case!$L:$L,$B70,case!I:I)</f>
        <v>1954310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42"/>
      <c r="B71" s="43" t="s">
        <v>337</v>
      </c>
      <c r="C71" s="44">
        <f>SUMIF(case!$L:$L,$B71,case!B:B)</f>
        <v>0</v>
      </c>
      <c r="D71" s="45">
        <f>SUMIF(case!$L:$L,$B71,case!C:C)</f>
        <v>0</v>
      </c>
      <c r="E71" s="45">
        <f>SUMIF(case!$L:$L,$B71,case!D:D)</f>
        <v>0</v>
      </c>
      <c r="F71" s="45">
        <f>SUMIF(case!$L:$L,$B71,case!E:E)</f>
        <v>0</v>
      </c>
      <c r="G71" s="45">
        <f>SUMIF(case!$L:$L,$B71,case!F:F)</f>
        <v>0</v>
      </c>
      <c r="H71" s="45">
        <f>SUMIF(case!$L:$L,$B71,case!G:G)</f>
        <v>0</v>
      </c>
      <c r="I71" s="45">
        <f>SUMIF(case!$L:$L,$B71,case!H:H)</f>
        <v>0</v>
      </c>
      <c r="J71" s="45">
        <f>SUMIF(case!$L:$L,$B71,case!I:I)</f>
        <v>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42"/>
      <c r="B72" s="43" t="s">
        <v>275</v>
      </c>
      <c r="C72" s="44">
        <f>SUMIF(case!$L:$L,$B72,case!B:B)</f>
        <v>0</v>
      </c>
      <c r="D72" s="45">
        <f>SUMIF(case!$L:$L,$B72,case!C:C)</f>
        <v>0</v>
      </c>
      <c r="E72" s="45">
        <f>SUMIF(case!$L:$L,$B72,case!D:D)</f>
        <v>0</v>
      </c>
      <c r="F72" s="45">
        <f>SUMIF(case!$L:$L,$B72,case!E:E)</f>
        <v>0</v>
      </c>
      <c r="G72" s="45">
        <f>SUMIF(case!$L:$L,$B72,case!F:F)</f>
        <v>0</v>
      </c>
      <c r="H72" s="45">
        <f>SUMIF(case!$L:$L,$B72,case!G:G)</f>
        <v>0</v>
      </c>
      <c r="I72" s="45">
        <f>SUMIF(case!$L:$L,$B72,case!H:H)</f>
        <v>0</v>
      </c>
      <c r="J72" s="45">
        <f>SUMIF(case!$L:$L,$B72,case!I:I)</f>
        <v>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38"/>
      <c r="B73" s="49" t="s">
        <v>338</v>
      </c>
      <c r="C73" s="55">
        <f t="shared" ref="C73:J73" si="17">SUM(C69:C72)</f>
        <v>8505933</v>
      </c>
      <c r="D73" s="56">
        <f t="shared" si="17"/>
        <v>10679831</v>
      </c>
      <c r="E73" s="56">
        <f t="shared" si="17"/>
        <v>11237368</v>
      </c>
      <c r="F73" s="56">
        <f t="shared" si="17"/>
        <v>10867692</v>
      </c>
      <c r="G73" s="56">
        <f t="shared" si="17"/>
        <v>9228293</v>
      </c>
      <c r="H73" s="56">
        <f t="shared" si="17"/>
        <v>3979031</v>
      </c>
      <c r="I73" s="56">
        <f t="shared" si="17"/>
        <v>2633782</v>
      </c>
      <c r="J73" s="56">
        <f t="shared" si="17"/>
        <v>2906574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42"/>
      <c r="B74" s="43"/>
      <c r="C74" s="44"/>
      <c r="D74" s="45"/>
      <c r="E74" s="45"/>
      <c r="F74" s="45"/>
      <c r="G74" s="45"/>
      <c r="H74" s="45"/>
      <c r="I74" s="45"/>
      <c r="J74" s="45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38"/>
      <c r="B75" s="39" t="s">
        <v>339</v>
      </c>
      <c r="C75" s="40"/>
      <c r="D75" s="41"/>
      <c r="E75" s="41"/>
      <c r="F75" s="41"/>
      <c r="G75" s="41"/>
      <c r="H75" s="41"/>
      <c r="I75" s="41"/>
      <c r="J75" s="41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42"/>
      <c r="B76" s="43" t="s">
        <v>253</v>
      </c>
      <c r="C76" s="44">
        <f>SUMIF(case!$L:$L,$B76,case!B:B)</f>
        <v>0</v>
      </c>
      <c r="D76" s="45">
        <f>SUMIF(case!$L:$L,$B76,case!C:C)</f>
        <v>0</v>
      </c>
      <c r="E76" s="45">
        <f>SUMIF(case!$L:$L,$B76,case!D:D)</f>
        <v>0</v>
      </c>
      <c r="F76" s="45">
        <f>SUMIF(case!$L:$L,$B76,case!E:E)</f>
        <v>0</v>
      </c>
      <c r="G76" s="45">
        <f>SUMIF(case!$L:$L,$B76,case!F:F)</f>
        <v>0</v>
      </c>
      <c r="H76" s="45">
        <f>SUMIF(case!$L:$L,$B76,case!G:G)</f>
        <v>0</v>
      </c>
      <c r="I76" s="45">
        <f>SUMIF(case!$L:$L,$B76,case!H:H)</f>
        <v>0</v>
      </c>
      <c r="J76" s="45">
        <f>SUMIF(case!$L:$L,$B76,case!I:I)</f>
        <v>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42"/>
      <c r="B77" s="43" t="s">
        <v>340</v>
      </c>
      <c r="C77" s="44">
        <f t="shared" ref="C77:J77" si="18">SUM(C78:C82)</f>
        <v>5757287</v>
      </c>
      <c r="D77" s="45">
        <f t="shared" si="18"/>
        <v>5227552</v>
      </c>
      <c r="E77" s="45">
        <f t="shared" si="18"/>
        <v>4660887</v>
      </c>
      <c r="F77" s="45">
        <f t="shared" si="18"/>
        <v>4082303</v>
      </c>
      <c r="G77" s="45">
        <f t="shared" si="18"/>
        <v>3206001</v>
      </c>
      <c r="H77" s="45">
        <f t="shared" si="18"/>
        <v>2384718</v>
      </c>
      <c r="I77" s="45">
        <f t="shared" si="18"/>
        <v>1733081</v>
      </c>
      <c r="J77" s="45">
        <f t="shared" si="18"/>
        <v>1062658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42"/>
      <c r="B78" s="43" t="s">
        <v>268</v>
      </c>
      <c r="C78" s="44">
        <f>SUMIF(case!$L:$L,$B78,case!B:B)</f>
        <v>140000</v>
      </c>
      <c r="D78" s="45">
        <f>SUMIF(case!$L:$L,$B78,case!C:C)</f>
        <v>140000</v>
      </c>
      <c r="E78" s="45">
        <f>SUMIF(case!$L:$L,$B78,case!D:D)</f>
        <v>140000</v>
      </c>
      <c r="F78" s="45">
        <f>SUMIF(case!$L:$L,$B78,case!E:E)</f>
        <v>140000</v>
      </c>
      <c r="G78" s="45">
        <f>SUMIF(case!$L:$L,$B78,case!F:F)</f>
        <v>140000</v>
      </c>
      <c r="H78" s="45">
        <f>SUMIF(case!$L:$L,$B78,case!G:G)</f>
        <v>140000</v>
      </c>
      <c r="I78" s="45">
        <f>SUMIF(case!$L:$L,$B78,case!H:H)</f>
        <v>140000</v>
      </c>
      <c r="J78" s="45">
        <f>SUMIF(case!$L:$L,$B78,case!I:I)</f>
        <v>140000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42"/>
      <c r="B79" s="43" t="s">
        <v>270</v>
      </c>
      <c r="C79" s="44">
        <f>SUMIF(case!$L:$L,$B79,case!B:B)</f>
        <v>4717554</v>
      </c>
      <c r="D79" s="45">
        <f>SUMIF(case!$L:$L,$B79,case!C:C)</f>
        <v>4520885</v>
      </c>
      <c r="E79" s="45">
        <f>SUMIF(case!$L:$L,$B79,case!D:D)</f>
        <v>3842306</v>
      </c>
      <c r="F79" s="45">
        <f>SUMIF(case!$L:$L,$B79,case!E:E)</f>
        <v>2981000</v>
      </c>
      <c r="G79" s="45">
        <f>SUMIF(case!$L:$L,$B79,case!F:F)</f>
        <v>2144719</v>
      </c>
      <c r="H79" s="45">
        <f>SUMIF(case!$L:$L,$B79,case!G:G)</f>
        <v>1493082</v>
      </c>
      <c r="I79" s="45">
        <f>SUMIF(case!$L:$L,$B79,case!H:H)</f>
        <v>922656</v>
      </c>
      <c r="J79" s="45">
        <f>SUMIF(case!$L:$L,$B79,case!I:I)</f>
        <v>557912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42"/>
      <c r="B80" s="43" t="s">
        <v>269</v>
      </c>
      <c r="C80" s="44">
        <f>SUMIF(case!$L:$L,$B80,case!B:B)</f>
        <v>0</v>
      </c>
      <c r="D80" s="45">
        <f>SUMIF(case!$L:$L,$B80,case!C:C)</f>
        <v>0</v>
      </c>
      <c r="E80" s="45">
        <f>SUMIF(case!$L:$L,$B80,case!D:D)</f>
        <v>0</v>
      </c>
      <c r="F80" s="45">
        <f>SUMIF(case!$L:$L,$B80,case!E:E)</f>
        <v>0</v>
      </c>
      <c r="G80" s="45">
        <f>SUMIF(case!$L:$L,$B80,case!F:F)</f>
        <v>0</v>
      </c>
      <c r="H80" s="45">
        <f>SUMIF(case!$L:$L,$B80,case!G:G)</f>
        <v>0</v>
      </c>
      <c r="I80" s="45">
        <f>SUMIF(case!$L:$L,$B80,case!H:H)</f>
        <v>0</v>
      </c>
      <c r="J80" s="45">
        <f>SUMIF(case!$L:$L,$B80,case!I:I)</f>
        <v>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42"/>
      <c r="B81" s="43" t="s">
        <v>257</v>
      </c>
      <c r="C81" s="44">
        <f>SUMIF(case!$L:$L,$B81,case!B:B)</f>
        <v>0</v>
      </c>
      <c r="D81" s="45">
        <f>SUMIF(case!$L:$L,$B81,case!C:C)</f>
        <v>0</v>
      </c>
      <c r="E81" s="45">
        <f>SUMIF(case!$L:$L,$B81,case!D:D)</f>
        <v>0</v>
      </c>
      <c r="F81" s="45">
        <f>SUMIF(case!$L:$L,$B81,case!E:E)</f>
        <v>0</v>
      </c>
      <c r="G81" s="45">
        <f>SUMIF(case!$L:$L,$B81,case!F:F)</f>
        <v>0</v>
      </c>
      <c r="H81" s="45">
        <f>SUMIF(case!$L:$L,$B81,case!G:G)</f>
        <v>0</v>
      </c>
      <c r="I81" s="45">
        <f>SUMIF(case!$L:$L,$B81,case!H:H)</f>
        <v>0</v>
      </c>
      <c r="J81" s="45">
        <f>SUMIF(case!$L:$L,$B81,case!I:I)</f>
        <v>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42"/>
      <c r="B82" s="43" t="s">
        <v>271</v>
      </c>
      <c r="C82" s="44">
        <f>SUMIF(case!$L:$L,$B82,case!B:B)</f>
        <v>899733</v>
      </c>
      <c r="D82" s="45">
        <f>SUMIF(case!$L:$L,$B82,case!C:C)</f>
        <v>566667</v>
      </c>
      <c r="E82" s="45">
        <f>SUMIF(case!$L:$L,$B82,case!D:D)</f>
        <v>678581</v>
      </c>
      <c r="F82" s="45">
        <f>SUMIF(case!$L:$L,$B82,case!E:E)</f>
        <v>961303</v>
      </c>
      <c r="G82" s="45">
        <f>SUMIF(case!$L:$L,$B82,case!F:F)</f>
        <v>921282</v>
      </c>
      <c r="H82" s="45">
        <f>SUMIF(case!$L:$L,$B82,case!G:G)</f>
        <v>751636</v>
      </c>
      <c r="I82" s="45">
        <f>SUMIF(case!$L:$L,$B82,case!H:H)</f>
        <v>670425</v>
      </c>
      <c r="J82" s="45">
        <f>SUMIF(case!$L:$L,$B82,case!I:I)</f>
        <v>364746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42"/>
      <c r="B83" s="43" t="s">
        <v>272</v>
      </c>
      <c r="C83" s="44">
        <f>SUMIF(case!$L:$L,$B83,case!B:B)</f>
        <v>0</v>
      </c>
      <c r="D83" s="45">
        <f>SUMIF(case!$L:$L,$B83,case!C:C)</f>
        <v>0</v>
      </c>
      <c r="E83" s="45">
        <f>SUMIF(case!$L:$L,$B83,case!D:D)</f>
        <v>0</v>
      </c>
      <c r="F83" s="45">
        <f>SUMIF(case!$L:$L,$B83,case!E:E)</f>
        <v>0</v>
      </c>
      <c r="G83" s="45">
        <f>SUMIF(case!$L:$L,$B83,case!F:F)</f>
        <v>0</v>
      </c>
      <c r="H83" s="45">
        <f>SUMIF(case!$L:$L,$B83,case!G:G)</f>
        <v>0</v>
      </c>
      <c r="I83" s="45">
        <f>SUMIF(case!$L:$L,$B83,case!H:H)</f>
        <v>0</v>
      </c>
      <c r="J83" s="45">
        <f>SUMIF(case!$L:$L,$B83,case!I:I)</f>
        <v>0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38"/>
      <c r="B84" s="49" t="s">
        <v>341</v>
      </c>
      <c r="C84" s="55">
        <f t="shared" ref="C84:J84" si="19">C76+C77+C83</f>
        <v>5757287</v>
      </c>
      <c r="D84" s="56">
        <f t="shared" si="19"/>
        <v>5227552</v>
      </c>
      <c r="E84" s="56">
        <f t="shared" si="19"/>
        <v>4660887</v>
      </c>
      <c r="F84" s="56">
        <f t="shared" si="19"/>
        <v>4082303</v>
      </c>
      <c r="G84" s="56">
        <f t="shared" si="19"/>
        <v>3206001</v>
      </c>
      <c r="H84" s="56">
        <f t="shared" si="19"/>
        <v>2384718</v>
      </c>
      <c r="I84" s="56">
        <f t="shared" si="19"/>
        <v>1733081</v>
      </c>
      <c r="J84" s="56">
        <f t="shared" si="19"/>
        <v>1062658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42"/>
      <c r="B85" s="43"/>
      <c r="C85" s="44"/>
      <c r="D85" s="45"/>
      <c r="E85" s="45"/>
      <c r="F85" s="45"/>
      <c r="G85" s="45"/>
      <c r="H85" s="45"/>
      <c r="I85" s="45"/>
      <c r="J85" s="45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38"/>
      <c r="B86" s="52" t="s">
        <v>342</v>
      </c>
      <c r="C86" s="57">
        <f t="shared" ref="C86:J86" si="20">C56+C62+C66+C73+C84</f>
        <v>18790859</v>
      </c>
      <c r="D86" s="58">
        <f t="shared" si="20"/>
        <v>20554377</v>
      </c>
      <c r="E86" s="58">
        <f t="shared" si="20"/>
        <v>20723060</v>
      </c>
      <c r="F86" s="58">
        <f t="shared" si="20"/>
        <v>18204611</v>
      </c>
      <c r="G86" s="58">
        <f t="shared" si="20"/>
        <v>14795011</v>
      </c>
      <c r="H86" s="58">
        <f t="shared" si="20"/>
        <v>9311398</v>
      </c>
      <c r="I86" s="58">
        <f t="shared" si="20"/>
        <v>6455031</v>
      </c>
      <c r="J86" s="58">
        <f t="shared" si="20"/>
        <v>6151737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38"/>
      <c r="B87" s="38"/>
      <c r="C87" s="24"/>
      <c r="D87" s="24"/>
      <c r="E87" s="24"/>
      <c r="F87" s="24"/>
      <c r="G87" s="24"/>
      <c r="H87" s="24"/>
      <c r="I87" s="24"/>
      <c r="J87" s="24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42"/>
      <c r="B88" s="42" t="s">
        <v>320</v>
      </c>
      <c r="C88" s="24">
        <f>case!B168</f>
        <v>18790859</v>
      </c>
      <c r="D88" s="24">
        <f>case!C168</f>
        <v>20554377</v>
      </c>
      <c r="E88" s="24">
        <f>case!D168</f>
        <v>20723060</v>
      </c>
      <c r="F88" s="24">
        <f>case!E168</f>
        <v>18204611</v>
      </c>
      <c r="G88" s="24">
        <f>case!F168</f>
        <v>14795011</v>
      </c>
      <c r="H88" s="24">
        <f>case!G168</f>
        <v>9311398</v>
      </c>
      <c r="I88" s="24">
        <f>case!H168</f>
        <v>6455031</v>
      </c>
      <c r="J88" s="24">
        <f>case!I168</f>
        <v>6151737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59"/>
      <c r="B89" s="59" t="s">
        <v>343</v>
      </c>
      <c r="C89" s="24">
        <f t="shared" ref="C89:J89" si="21">C88-C86</f>
        <v>0</v>
      </c>
      <c r="D89" s="24">
        <f t="shared" si="21"/>
        <v>0</v>
      </c>
      <c r="E89" s="24">
        <f t="shared" si="21"/>
        <v>0</v>
      </c>
      <c r="F89" s="24">
        <f t="shared" si="21"/>
        <v>0</v>
      </c>
      <c r="G89" s="24">
        <f t="shared" si="21"/>
        <v>0</v>
      </c>
      <c r="H89" s="24">
        <f t="shared" si="21"/>
        <v>0</v>
      </c>
      <c r="I89" s="24">
        <f t="shared" si="21"/>
        <v>0</v>
      </c>
      <c r="J89" s="24">
        <f t="shared" si="21"/>
        <v>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42"/>
      <c r="B90" s="42" t="s">
        <v>344</v>
      </c>
      <c r="C90" s="24">
        <f t="shared" ref="C90:J90" si="22">C35-C86</f>
        <v>0</v>
      </c>
      <c r="D90" s="24">
        <f t="shared" si="22"/>
        <v>0</v>
      </c>
      <c r="E90" s="24">
        <f t="shared" si="22"/>
        <v>0</v>
      </c>
      <c r="F90" s="24">
        <f t="shared" si="22"/>
        <v>0</v>
      </c>
      <c r="G90" s="24">
        <f t="shared" si="22"/>
        <v>0</v>
      </c>
      <c r="H90" s="24">
        <f t="shared" si="22"/>
        <v>0</v>
      </c>
      <c r="I90" s="24">
        <f t="shared" si="22"/>
        <v>0</v>
      </c>
      <c r="J90" s="24">
        <f t="shared" si="22"/>
        <v>0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42"/>
      <c r="B91" s="42"/>
      <c r="C91" s="24"/>
      <c r="D91" s="24"/>
      <c r="E91" s="24"/>
      <c r="F91" s="24"/>
      <c r="G91" s="24"/>
      <c r="H91" s="24"/>
      <c r="I91" s="24"/>
      <c r="J91" s="24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38"/>
      <c r="B92" s="38" t="s">
        <v>345</v>
      </c>
      <c r="C92" s="24"/>
      <c r="D92" s="24"/>
      <c r="E92" s="24"/>
      <c r="F92" s="24"/>
      <c r="G92" s="24"/>
      <c r="H92" s="24"/>
      <c r="I92" s="24"/>
      <c r="J92" s="24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42"/>
      <c r="B93" s="42" t="s">
        <v>346</v>
      </c>
      <c r="C93" s="24">
        <f t="shared" ref="C93:J93" si="23">C16-C56+C21-C62</f>
        <v>13962088</v>
      </c>
      <c r="D93" s="24">
        <f t="shared" si="23"/>
        <v>14957139</v>
      </c>
      <c r="E93" s="24">
        <f t="shared" si="23"/>
        <v>14682021</v>
      </c>
      <c r="F93" s="24">
        <f t="shared" si="23"/>
        <v>12621622</v>
      </c>
      <c r="G93" s="24">
        <f t="shared" si="23"/>
        <v>10439151</v>
      </c>
      <c r="H93" s="24">
        <f t="shared" si="23"/>
        <v>5753308</v>
      </c>
      <c r="I93" s="24">
        <f t="shared" si="23"/>
        <v>4023273</v>
      </c>
      <c r="J93" s="24">
        <f t="shared" si="23"/>
        <v>3249932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42"/>
      <c r="B94" s="42" t="s">
        <v>347</v>
      </c>
      <c r="C94" s="24">
        <f t="shared" ref="C94:J94" si="24">C27-C66</f>
        <v>58702</v>
      </c>
      <c r="D94" s="24">
        <f t="shared" si="24"/>
        <v>58702</v>
      </c>
      <c r="E94" s="24">
        <f t="shared" si="24"/>
        <v>58702</v>
      </c>
      <c r="F94" s="24">
        <f t="shared" si="24"/>
        <v>58702</v>
      </c>
      <c r="G94" s="24">
        <f t="shared" si="24"/>
        <v>6512</v>
      </c>
      <c r="H94" s="24">
        <f t="shared" si="24"/>
        <v>6512</v>
      </c>
      <c r="I94" s="24">
        <f t="shared" si="24"/>
        <v>6512</v>
      </c>
      <c r="J94" s="24">
        <f t="shared" si="24"/>
        <v>6512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42"/>
      <c r="B95" s="42" t="s">
        <v>348</v>
      </c>
      <c r="C95" s="24">
        <f t="shared" ref="C95:J95" si="25">C33-C73</f>
        <v>-8263503</v>
      </c>
      <c r="D95" s="24">
        <f t="shared" si="25"/>
        <v>-9788289</v>
      </c>
      <c r="E95" s="24">
        <f t="shared" si="25"/>
        <v>-10079836</v>
      </c>
      <c r="F95" s="24">
        <f t="shared" si="25"/>
        <v>-8598021</v>
      </c>
      <c r="G95" s="24">
        <f t="shared" si="25"/>
        <v>-7239662</v>
      </c>
      <c r="H95" s="24">
        <f t="shared" si="25"/>
        <v>-3375102</v>
      </c>
      <c r="I95" s="24">
        <f t="shared" si="25"/>
        <v>-2296704</v>
      </c>
      <c r="J95" s="24">
        <f t="shared" si="25"/>
        <v>-2193786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42"/>
      <c r="B96" s="42" t="s">
        <v>349</v>
      </c>
      <c r="C96" s="24">
        <f t="shared" ref="C96:J96" si="26">C84</f>
        <v>5757287</v>
      </c>
      <c r="D96" s="24">
        <f t="shared" si="26"/>
        <v>5227552</v>
      </c>
      <c r="E96" s="24">
        <f t="shared" si="26"/>
        <v>4660887</v>
      </c>
      <c r="F96" s="24">
        <f t="shared" si="26"/>
        <v>4082303</v>
      </c>
      <c r="G96" s="24">
        <f t="shared" si="26"/>
        <v>3206001</v>
      </c>
      <c r="H96" s="24">
        <f t="shared" si="26"/>
        <v>2384718</v>
      </c>
      <c r="I96" s="24">
        <f t="shared" si="26"/>
        <v>1733081</v>
      </c>
      <c r="J96" s="24">
        <f t="shared" si="26"/>
        <v>1062658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42"/>
      <c r="B97" s="42" t="s">
        <v>350</v>
      </c>
      <c r="C97" s="24">
        <f t="shared" ref="C97:J97" si="27">C35</f>
        <v>18790859</v>
      </c>
      <c r="D97" s="24">
        <f t="shared" si="27"/>
        <v>20554377</v>
      </c>
      <c r="E97" s="24">
        <f t="shared" si="27"/>
        <v>20723060</v>
      </c>
      <c r="F97" s="24">
        <f t="shared" si="27"/>
        <v>18204611</v>
      </c>
      <c r="G97" s="24">
        <f t="shared" si="27"/>
        <v>14795011</v>
      </c>
      <c r="H97" s="24">
        <f t="shared" si="27"/>
        <v>9311398</v>
      </c>
      <c r="I97" s="24">
        <f t="shared" si="27"/>
        <v>6455031</v>
      </c>
      <c r="J97" s="24">
        <f t="shared" si="27"/>
        <v>6151737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42"/>
      <c r="B98" s="42" t="s">
        <v>351</v>
      </c>
      <c r="C98" s="24">
        <f t="shared" ref="C98:J98" si="28">C86</f>
        <v>18790859</v>
      </c>
      <c r="D98" s="24">
        <f t="shared" si="28"/>
        <v>20554377</v>
      </c>
      <c r="E98" s="24">
        <f t="shared" si="28"/>
        <v>20723060</v>
      </c>
      <c r="F98" s="24">
        <f t="shared" si="28"/>
        <v>18204611</v>
      </c>
      <c r="G98" s="24">
        <f t="shared" si="28"/>
        <v>14795011</v>
      </c>
      <c r="H98" s="24">
        <f t="shared" si="28"/>
        <v>9311398</v>
      </c>
      <c r="I98" s="24">
        <f t="shared" si="28"/>
        <v>6455031</v>
      </c>
      <c r="J98" s="24">
        <f t="shared" si="28"/>
        <v>6151737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42"/>
      <c r="B99" s="42" t="s">
        <v>323</v>
      </c>
      <c r="C99" s="24">
        <f t="shared" ref="C99:J99" si="29">C97-C98</f>
        <v>0</v>
      </c>
      <c r="D99" s="24">
        <f t="shared" si="29"/>
        <v>0</v>
      </c>
      <c r="E99" s="24">
        <f t="shared" si="29"/>
        <v>0</v>
      </c>
      <c r="F99" s="24">
        <f t="shared" si="29"/>
        <v>0</v>
      </c>
      <c r="G99" s="24">
        <f t="shared" si="29"/>
        <v>0</v>
      </c>
      <c r="H99" s="24">
        <f t="shared" si="29"/>
        <v>0</v>
      </c>
      <c r="I99" s="24">
        <f t="shared" si="29"/>
        <v>0</v>
      </c>
      <c r="J99" s="24">
        <f t="shared" si="29"/>
        <v>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42"/>
      <c r="B100" s="42"/>
      <c r="C100" s="24"/>
      <c r="D100" s="24"/>
      <c r="E100" s="24"/>
      <c r="F100" s="24"/>
      <c r="G100" s="24"/>
      <c r="H100" s="24"/>
      <c r="I100" s="24"/>
      <c r="J100" s="24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60"/>
      <c r="B101" s="60" t="s">
        <v>352</v>
      </c>
      <c r="C101" s="24">
        <f t="shared" ref="C101:J101" si="30">C8-C51</f>
        <v>5652102</v>
      </c>
      <c r="D101" s="24">
        <f t="shared" si="30"/>
        <v>6091068</v>
      </c>
      <c r="E101" s="24">
        <f t="shared" si="30"/>
        <v>4739282</v>
      </c>
      <c r="F101" s="24">
        <f t="shared" si="30"/>
        <v>3336501</v>
      </c>
      <c r="G101" s="24">
        <f t="shared" si="30"/>
        <v>3414534</v>
      </c>
      <c r="H101" s="24">
        <f t="shared" si="30"/>
        <v>3284267</v>
      </c>
      <c r="I101" s="24">
        <f t="shared" si="30"/>
        <v>3215402</v>
      </c>
      <c r="J101" s="24">
        <f t="shared" si="30"/>
        <v>2861588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60"/>
      <c r="B102" s="60" t="s">
        <v>353</v>
      </c>
      <c r="C102" s="24">
        <f t="shared" ref="C102:J102" si="31">C16-C56</f>
        <v>14244675</v>
      </c>
      <c r="D102" s="24">
        <f t="shared" si="31"/>
        <v>15035932</v>
      </c>
      <c r="E102" s="24">
        <f t="shared" si="31"/>
        <v>14106429</v>
      </c>
      <c r="F102" s="24">
        <f t="shared" si="31"/>
        <v>12646121</v>
      </c>
      <c r="G102" s="24">
        <f t="shared" si="31"/>
        <v>10306811</v>
      </c>
      <c r="H102" s="24">
        <f t="shared" si="31"/>
        <v>5687488</v>
      </c>
      <c r="I102" s="24">
        <f t="shared" si="31"/>
        <v>4222775</v>
      </c>
      <c r="J102" s="24">
        <f t="shared" si="31"/>
        <v>3589908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60"/>
      <c r="B103" s="60" t="s">
        <v>354</v>
      </c>
      <c r="C103" s="24">
        <f t="shared" ref="C103:J103" si="32">-C95</f>
        <v>8263503</v>
      </c>
      <c r="D103" s="24">
        <f t="shared" si="32"/>
        <v>9788289</v>
      </c>
      <c r="E103" s="24">
        <f t="shared" si="32"/>
        <v>10079836</v>
      </c>
      <c r="F103" s="24">
        <f t="shared" si="32"/>
        <v>8598021</v>
      </c>
      <c r="G103" s="24">
        <f t="shared" si="32"/>
        <v>7239662</v>
      </c>
      <c r="H103" s="24">
        <f t="shared" si="32"/>
        <v>3375102</v>
      </c>
      <c r="I103" s="24">
        <f t="shared" si="32"/>
        <v>2296704</v>
      </c>
      <c r="J103" s="24">
        <f t="shared" si="32"/>
        <v>2193786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42"/>
      <c r="B104" s="42" t="s">
        <v>355</v>
      </c>
      <c r="C104" s="24">
        <f t="shared" ref="C104:J104" si="33">C93+C94</f>
        <v>14020790</v>
      </c>
      <c r="D104" s="24">
        <f t="shared" si="33"/>
        <v>15015841</v>
      </c>
      <c r="E104" s="24">
        <f t="shared" si="33"/>
        <v>14740723</v>
      </c>
      <c r="F104" s="24">
        <f t="shared" si="33"/>
        <v>12680324</v>
      </c>
      <c r="G104" s="24">
        <f t="shared" si="33"/>
        <v>10445663</v>
      </c>
      <c r="H104" s="24">
        <f t="shared" si="33"/>
        <v>5759820</v>
      </c>
      <c r="I104" s="24">
        <f t="shared" si="33"/>
        <v>4029785</v>
      </c>
      <c r="J104" s="24">
        <f t="shared" si="33"/>
        <v>3256444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42"/>
      <c r="B105" s="42" t="s">
        <v>356</v>
      </c>
      <c r="C105" s="24">
        <f t="shared" ref="C105:J105" si="34">C96+C103</f>
        <v>14020790</v>
      </c>
      <c r="D105" s="24">
        <f t="shared" si="34"/>
        <v>15015841</v>
      </c>
      <c r="E105" s="24">
        <f t="shared" si="34"/>
        <v>14740723</v>
      </c>
      <c r="F105" s="24">
        <f t="shared" si="34"/>
        <v>12680324</v>
      </c>
      <c r="G105" s="24">
        <f t="shared" si="34"/>
        <v>10445663</v>
      </c>
      <c r="H105" s="24">
        <f t="shared" si="34"/>
        <v>5759820</v>
      </c>
      <c r="I105" s="24">
        <f t="shared" si="34"/>
        <v>4029785</v>
      </c>
      <c r="J105" s="24">
        <f t="shared" si="34"/>
        <v>3256444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42"/>
      <c r="B106" s="42" t="s">
        <v>357</v>
      </c>
      <c r="C106" s="24">
        <f t="shared" ref="C106:J106" si="35">C104-C105</f>
        <v>0</v>
      </c>
      <c r="D106" s="24">
        <f t="shared" si="35"/>
        <v>0</v>
      </c>
      <c r="E106" s="24">
        <f t="shared" si="35"/>
        <v>0</v>
      </c>
      <c r="F106" s="24">
        <f t="shared" si="35"/>
        <v>0</v>
      </c>
      <c r="G106" s="24">
        <f t="shared" si="35"/>
        <v>0</v>
      </c>
      <c r="H106" s="24">
        <f t="shared" si="35"/>
        <v>0</v>
      </c>
      <c r="I106" s="24">
        <f t="shared" si="35"/>
        <v>0</v>
      </c>
      <c r="J106" s="24">
        <f t="shared" si="35"/>
        <v>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42"/>
      <c r="B107" s="42"/>
      <c r="C107" s="24"/>
      <c r="D107" s="24"/>
      <c r="E107" s="24"/>
      <c r="F107" s="24"/>
      <c r="G107" s="24"/>
      <c r="H107" s="24"/>
      <c r="I107" s="24"/>
      <c r="J107" s="24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42"/>
      <c r="B108" s="4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34"/>
      <c r="B109" s="35" t="s">
        <v>358</v>
      </c>
      <c r="C109" s="15" t="str">
        <f t="shared" ref="C109:J109" si="36">C2</f>
        <v>31/12/2024</v>
      </c>
      <c r="D109" s="15" t="str">
        <f t="shared" si="36"/>
        <v>31/12/2023</v>
      </c>
      <c r="E109" s="15" t="str">
        <f t="shared" si="36"/>
        <v>31/12/2022</v>
      </c>
      <c r="F109" s="15" t="str">
        <f t="shared" si="36"/>
        <v>31/12/2021</v>
      </c>
      <c r="G109" s="15" t="str">
        <f t="shared" si="36"/>
        <v>31/12/2020</v>
      </c>
      <c r="H109" s="15" t="str">
        <f t="shared" si="36"/>
        <v>31/12/2019</v>
      </c>
      <c r="I109" s="15" t="str">
        <f t="shared" si="36"/>
        <v>31/12/2018</v>
      </c>
      <c r="J109" s="15" t="str">
        <f t="shared" si="36"/>
        <v>31/12/2017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38"/>
      <c r="B110" s="61" t="s">
        <v>359</v>
      </c>
      <c r="C110" s="41"/>
      <c r="D110" s="41"/>
      <c r="E110" s="41"/>
      <c r="F110" s="41"/>
      <c r="G110" s="41"/>
      <c r="H110" s="41"/>
      <c r="I110" s="41"/>
      <c r="J110" s="41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42"/>
      <c r="B111" s="62" t="s">
        <v>284</v>
      </c>
      <c r="C111" s="45">
        <f>SUMIF(case!$L:$L,$B111,case!B:B)-C127</f>
        <v>21650995</v>
      </c>
      <c r="D111" s="45">
        <f>SUMIF(case!$L:$L,$B111,case!C:C)-D127</f>
        <v>21142391</v>
      </c>
      <c r="E111" s="45">
        <f>SUMIF(case!$L:$L,$B111,case!D:D)-E127</f>
        <v>17821289</v>
      </c>
      <c r="F111" s="45">
        <f>SUMIF(case!$L:$L,$B111,case!E:E)-F127</f>
        <v>15638358</v>
      </c>
      <c r="G111" s="45">
        <f>SUMIF(case!$L:$L,$B111,case!F:F)-G127</f>
        <v>14336879</v>
      </c>
      <c r="H111" s="45">
        <f>SUMIF(case!$L:$L,$B111,case!G:G)-H127</f>
        <v>13550152</v>
      </c>
      <c r="I111" s="45">
        <f>SUMIF(case!$L:$L,$B111,case!H:H)-I127</f>
        <v>11519434</v>
      </c>
      <c r="J111" s="45">
        <f>SUMIF(case!$L:$L,$B111,case!I:I)-J127</f>
        <v>9917341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42"/>
      <c r="B112" s="62" t="s">
        <v>360</v>
      </c>
      <c r="C112" s="45"/>
      <c r="D112" s="45"/>
      <c r="E112" s="45"/>
      <c r="F112" s="45"/>
      <c r="G112" s="45"/>
      <c r="H112" s="45"/>
      <c r="I112" s="45"/>
      <c r="J112" s="45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42"/>
      <c r="B113" s="62" t="s">
        <v>289</v>
      </c>
      <c r="C113" s="45">
        <f>SUMIF(case!$L:$L,$B113,case!B:B)</f>
        <v>-14699595</v>
      </c>
      <c r="D113" s="45">
        <f>SUMIF(case!$L:$L,$B113,case!C:C)</f>
        <v>-14953922</v>
      </c>
      <c r="E113" s="45">
        <f>SUMIF(case!$L:$L,$B113,case!D:D)</f>
        <v>-13825249</v>
      </c>
      <c r="F113" s="45">
        <f>SUMIF(case!$L:$L,$B113,case!E:E)</f>
        <v>-10511247</v>
      </c>
      <c r="G113" s="45">
        <f>SUMIF(case!$L:$L,$B113,case!F:F)</f>
        <v>-9060210</v>
      </c>
      <c r="H113" s="45">
        <f>SUMIF(case!$L:$L,$B113,case!G:G)</f>
        <v>-9472095</v>
      </c>
      <c r="I113" s="45">
        <f>SUMIF(case!$L:$L,$B113,case!H:H)</f>
        <v>-7620373</v>
      </c>
      <c r="J113" s="45">
        <f>SUMIF(case!$L:$L,$B113,case!I:I)</f>
        <v>-6509298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42"/>
      <c r="B114" s="62" t="s">
        <v>290</v>
      </c>
      <c r="C114" s="45">
        <f>SUMIF(case!$L:$L,$B114,case!B:B)</f>
        <v>-2422226</v>
      </c>
      <c r="D114" s="45">
        <f>SUMIF(case!$L:$L,$B114,case!C:C)</f>
        <v>-2512120</v>
      </c>
      <c r="E114" s="45">
        <f>SUMIF(case!$L:$L,$B114,case!D:D)</f>
        <v>-2928006</v>
      </c>
      <c r="F114" s="45">
        <f>SUMIF(case!$L:$L,$B114,case!E:E)</f>
        <v>-2010409</v>
      </c>
      <c r="G114" s="45">
        <f>SUMIF(case!$L:$L,$B114,case!F:F)</f>
        <v>-1917407</v>
      </c>
      <c r="H114" s="45">
        <f>SUMIF(case!$L:$L,$B114,case!G:G)</f>
        <v>-1966664</v>
      </c>
      <c r="I114" s="45">
        <f>SUMIF(case!$L:$L,$B114,case!H:H)</f>
        <v>-1696231</v>
      </c>
      <c r="J114" s="45">
        <f>SUMIF(case!$L:$L,$B114,case!I:I)</f>
        <v>-1342031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42"/>
      <c r="B115" s="62" t="s">
        <v>291</v>
      </c>
      <c r="C115" s="45">
        <f>SUMIF(case!$L:$L,$B115,case!B:B)</f>
        <v>-117380</v>
      </c>
      <c r="D115" s="45">
        <f>SUMIF(case!$L:$L,$B115,case!C:C)</f>
        <v>-75105</v>
      </c>
      <c r="E115" s="45">
        <f>SUMIF(case!$L:$L,$B115,case!D:D)</f>
        <v>-85474</v>
      </c>
      <c r="F115" s="45">
        <f>SUMIF(case!$L:$L,$B115,case!E:E)</f>
        <v>-78590</v>
      </c>
      <c r="G115" s="45">
        <f>SUMIF(case!$L:$L,$B115,case!F:F)</f>
        <v>-73502</v>
      </c>
      <c r="H115" s="45">
        <f>SUMIF(case!$L:$L,$B115,case!G:G)</f>
        <v>-66140</v>
      </c>
      <c r="I115" s="45">
        <f>SUMIF(case!$L:$L,$B115,case!H:H)</f>
        <v>-53268</v>
      </c>
      <c r="J115" s="45">
        <f>SUMIF(case!$L:$L,$B115,case!I:I)</f>
        <v>-64128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42"/>
      <c r="B116" s="62" t="s">
        <v>361</v>
      </c>
      <c r="C116" s="45">
        <f t="shared" ref="C116:J116" si="37">SUM(C113:C115)</f>
        <v>-17239201</v>
      </c>
      <c r="D116" s="45">
        <f t="shared" si="37"/>
        <v>-17541147</v>
      </c>
      <c r="E116" s="45">
        <f t="shared" si="37"/>
        <v>-16838729</v>
      </c>
      <c r="F116" s="45">
        <f t="shared" si="37"/>
        <v>-12600246</v>
      </c>
      <c r="G116" s="45">
        <f t="shared" si="37"/>
        <v>-11051119</v>
      </c>
      <c r="H116" s="45">
        <f t="shared" si="37"/>
        <v>-11504899</v>
      </c>
      <c r="I116" s="45">
        <f t="shared" si="37"/>
        <v>-9369872</v>
      </c>
      <c r="J116" s="45">
        <f t="shared" si="37"/>
        <v>-7915457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42"/>
      <c r="B117" s="62" t="s">
        <v>295</v>
      </c>
      <c r="C117" s="45">
        <f>SUMIF(case!$L:$L,$B117,case!B:B)</f>
        <v>141939</v>
      </c>
      <c r="D117" s="45">
        <f>SUMIF(case!$L:$L,$B117,case!C:C)</f>
        <v>-135450</v>
      </c>
      <c r="E117" s="45">
        <f>SUMIF(case!$L:$L,$B117,case!D:D)</f>
        <v>162139</v>
      </c>
      <c r="F117" s="45">
        <f>SUMIF(case!$L:$L,$B117,case!E:E)</f>
        <v>79592</v>
      </c>
      <c r="G117" s="45">
        <f>SUMIF(case!$L:$L,$B117,case!F:F)</f>
        <v>-76252</v>
      </c>
      <c r="H117" s="45">
        <f>SUMIF(case!$L:$L,$B117,case!G:G)</f>
        <v>94059</v>
      </c>
      <c r="I117" s="45">
        <f>SUMIF(case!$L:$L,$B117,case!H:H)</f>
        <v>-35037</v>
      </c>
      <c r="J117" s="45">
        <f>SUMIF(case!$L:$L,$B117,case!I:I)</f>
        <v>61620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42"/>
      <c r="B118" s="62" t="s">
        <v>285</v>
      </c>
      <c r="C118" s="45">
        <f>SUMIF(case!$L:$L,$B118,case!B:B)</f>
        <v>-573471</v>
      </c>
      <c r="D118" s="45">
        <f>SUMIF(case!$L:$L,$B118,case!C:C)</f>
        <v>-74468</v>
      </c>
      <c r="E118" s="45">
        <f>SUMIF(case!$L:$L,$B118,case!D:D)</f>
        <v>2163754</v>
      </c>
      <c r="F118" s="45">
        <f>SUMIF(case!$L:$L,$B118,case!E:E)</f>
        <v>288102</v>
      </c>
      <c r="G118" s="45">
        <f>SUMIF(case!$L:$L,$B118,case!F:F)</f>
        <v>-377792</v>
      </c>
      <c r="H118" s="45">
        <f>SUMIF(case!$L:$L,$B118,case!G:G)</f>
        <v>494422</v>
      </c>
      <c r="I118" s="45">
        <f>SUMIF(case!$L:$L,$B118,case!H:H)</f>
        <v>386643</v>
      </c>
      <c r="J118" s="45">
        <f>SUMIF(case!$L:$L,$B118,case!I:I)</f>
        <v>-75281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42"/>
      <c r="B119" s="62" t="s">
        <v>286</v>
      </c>
      <c r="C119" s="45">
        <f>SUMIF(case!$L:$L,$B119,case!B:B)</f>
        <v>0</v>
      </c>
      <c r="D119" s="45">
        <f>SUMIF(case!$L:$L,$B119,case!C:C)</f>
        <v>0</v>
      </c>
      <c r="E119" s="45">
        <f>SUMIF(case!$L:$L,$B119,case!D:D)</f>
        <v>0</v>
      </c>
      <c r="F119" s="45">
        <f>SUMIF(case!$L:$L,$B119,case!E:E)</f>
        <v>0</v>
      </c>
      <c r="G119" s="45">
        <f>SUMIF(case!$L:$L,$B119,case!F:F)</f>
        <v>0</v>
      </c>
      <c r="H119" s="45">
        <f>SUMIF(case!$L:$L,$B119,case!G:G)</f>
        <v>0</v>
      </c>
      <c r="I119" s="45">
        <f>SUMIF(case!$L:$L,$B119,case!H:H)</f>
        <v>0</v>
      </c>
      <c r="J119" s="45">
        <f>SUMIF(case!$L:$L,$B119,case!I:I)</f>
        <v>0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42"/>
      <c r="B120" s="62" t="s">
        <v>362</v>
      </c>
      <c r="C120" s="45">
        <f t="shared" ref="C120:J120" si="38">C116+C117+C118+C119</f>
        <v>-17670733</v>
      </c>
      <c r="D120" s="45">
        <f t="shared" si="38"/>
        <v>-17751065</v>
      </c>
      <c r="E120" s="45">
        <f t="shared" si="38"/>
        <v>-14512836</v>
      </c>
      <c r="F120" s="45">
        <f t="shared" si="38"/>
        <v>-12232552</v>
      </c>
      <c r="G120" s="45">
        <f t="shared" si="38"/>
        <v>-11505163</v>
      </c>
      <c r="H120" s="45">
        <f t="shared" si="38"/>
        <v>-10916418</v>
      </c>
      <c r="I120" s="45">
        <f t="shared" si="38"/>
        <v>-9018266</v>
      </c>
      <c r="J120" s="45">
        <f t="shared" si="38"/>
        <v>-7929118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42"/>
      <c r="B121" s="62" t="s">
        <v>363</v>
      </c>
      <c r="C121" s="45">
        <f t="shared" ref="C121:J121" si="39">C111+C120</f>
        <v>3980262</v>
      </c>
      <c r="D121" s="45">
        <f t="shared" si="39"/>
        <v>3391326</v>
      </c>
      <c r="E121" s="45">
        <f t="shared" si="39"/>
        <v>3308453</v>
      </c>
      <c r="F121" s="45">
        <f t="shared" si="39"/>
        <v>3405806</v>
      </c>
      <c r="G121" s="45">
        <f t="shared" si="39"/>
        <v>2831716</v>
      </c>
      <c r="H121" s="45">
        <f t="shared" si="39"/>
        <v>2633734</v>
      </c>
      <c r="I121" s="45">
        <f t="shared" si="39"/>
        <v>2501168</v>
      </c>
      <c r="J121" s="45">
        <f t="shared" si="39"/>
        <v>1988223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42"/>
      <c r="B122" s="62" t="s">
        <v>292</v>
      </c>
      <c r="C122" s="45">
        <f>SUMIF(case!$L:$L,$B122,case!B:B)</f>
        <v>-1498458</v>
      </c>
      <c r="D122" s="45">
        <f>SUMIF(case!$L:$L,$B122,case!C:C)</f>
        <v>-1556067</v>
      </c>
      <c r="E122" s="45">
        <f>SUMIF(case!$L:$L,$B122,case!D:D)</f>
        <v>-1602450</v>
      </c>
      <c r="F122" s="45">
        <f>SUMIF(case!$L:$L,$B122,case!E:E)</f>
        <v>-1479224</v>
      </c>
      <c r="G122" s="45">
        <f>SUMIF(case!$L:$L,$B122,case!F:F)</f>
        <v>-1291439</v>
      </c>
      <c r="H122" s="45">
        <f>SUMIF(case!$L:$L,$B122,case!G:G)</f>
        <v>-1276116</v>
      </c>
      <c r="I122" s="45">
        <f>SUMIF(case!$L:$L,$B122,case!H:H)</f>
        <v>-1096036</v>
      </c>
      <c r="J122" s="45">
        <f>SUMIF(case!$L:$L,$B122,case!I:I)</f>
        <v>-863572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42"/>
      <c r="B123" s="62" t="s">
        <v>364</v>
      </c>
      <c r="C123" s="45">
        <f t="shared" ref="C123:J123" si="40">C121+C122</f>
        <v>2481804</v>
      </c>
      <c r="D123" s="45">
        <f t="shared" si="40"/>
        <v>1835259</v>
      </c>
      <c r="E123" s="45">
        <f t="shared" si="40"/>
        <v>1706003</v>
      </c>
      <c r="F123" s="45">
        <f t="shared" si="40"/>
        <v>1926582</v>
      </c>
      <c r="G123" s="45">
        <f t="shared" si="40"/>
        <v>1540277</v>
      </c>
      <c r="H123" s="45">
        <f t="shared" si="40"/>
        <v>1357618</v>
      </c>
      <c r="I123" s="45">
        <f t="shared" si="40"/>
        <v>1405132</v>
      </c>
      <c r="J123" s="45">
        <f t="shared" si="40"/>
        <v>1124651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42"/>
      <c r="B124" s="62" t="s">
        <v>293</v>
      </c>
      <c r="C124" s="45">
        <f>SUMIF(case!$L:$L,$B124,case!B:B)</f>
        <v>-916802</v>
      </c>
      <c r="D124" s="45">
        <f>SUMIF(case!$L:$L,$B124,case!C:C)</f>
        <v>-899828</v>
      </c>
      <c r="E124" s="45">
        <f>SUMIF(case!$L:$L,$B124,case!D:D)</f>
        <v>-856051</v>
      </c>
      <c r="F124" s="45">
        <f>SUMIF(case!$L:$L,$B124,case!E:E)</f>
        <v>-470290</v>
      </c>
      <c r="G124" s="45">
        <f>SUMIF(case!$L:$L,$B124,case!F:F)</f>
        <v>-171279</v>
      </c>
      <c r="H124" s="45">
        <f>SUMIF(case!$L:$L,$B124,case!G:G)</f>
        <v>-180598</v>
      </c>
      <c r="I124" s="45">
        <f>SUMIF(case!$L:$L,$B124,case!H:H)</f>
        <v>-184962</v>
      </c>
      <c r="J124" s="45">
        <f>SUMIF(case!$L:$L,$B124,case!I:I)</f>
        <v>-215317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42"/>
      <c r="B125" s="62" t="s">
        <v>365</v>
      </c>
      <c r="C125" s="45">
        <f t="shared" ref="C125:J125" si="41">C123+C124</f>
        <v>1565002</v>
      </c>
      <c r="D125" s="45">
        <f t="shared" si="41"/>
        <v>935431</v>
      </c>
      <c r="E125" s="45">
        <f t="shared" si="41"/>
        <v>849952</v>
      </c>
      <c r="F125" s="45">
        <f t="shared" si="41"/>
        <v>1456292</v>
      </c>
      <c r="G125" s="45">
        <f t="shared" si="41"/>
        <v>1368998</v>
      </c>
      <c r="H125" s="45">
        <f t="shared" si="41"/>
        <v>1177020</v>
      </c>
      <c r="I125" s="45">
        <f t="shared" si="41"/>
        <v>1220170</v>
      </c>
      <c r="J125" s="45">
        <f t="shared" si="41"/>
        <v>909334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42"/>
      <c r="B126" s="62" t="s">
        <v>287</v>
      </c>
      <c r="C126" s="45">
        <f>SUMIF(case!$L:$L,$B126,case!B:B)</f>
        <v>0</v>
      </c>
      <c r="D126" s="45">
        <f>SUMIF(case!$L:$L,$B126,case!C:C)</f>
        <v>0</v>
      </c>
      <c r="E126" s="45">
        <f>SUMIF(case!$L:$L,$B126,case!D:D)</f>
        <v>0</v>
      </c>
      <c r="F126" s="45">
        <f>SUMIF(case!$L:$L,$B126,case!E:E)</f>
        <v>0</v>
      </c>
      <c r="G126" s="45">
        <f>SUMIF(case!$L:$L,$B126,case!F:F)</f>
        <v>0</v>
      </c>
      <c r="H126" s="45">
        <f>SUMIF(case!$L:$L,$B126,case!G:G)</f>
        <v>0</v>
      </c>
      <c r="I126" s="45">
        <f>SUMIF(case!$L:$L,$B126,case!H:H)</f>
        <v>0</v>
      </c>
      <c r="J126" s="45">
        <f>SUMIF(case!$L:$L,$B126,case!I:I)</f>
        <v>0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42"/>
      <c r="B127" s="62" t="s">
        <v>288</v>
      </c>
      <c r="C127" s="45">
        <f>SUMIF(case!$L:$L,$B127,case!B:B)</f>
        <v>97559</v>
      </c>
      <c r="D127" s="45">
        <f>SUMIF(case!$L:$L,$B127,case!C:C)</f>
        <v>265833</v>
      </c>
      <c r="E127" s="45">
        <f>SUMIF(case!$L:$L,$B127,case!D:D)</f>
        <v>189996</v>
      </c>
      <c r="F127" s="45">
        <f>SUMIF(case!$L:$L,$B127,case!E:E)</f>
        <v>17223</v>
      </c>
      <c r="G127" s="45">
        <f>SUMIF(case!$L:$L,$B127,case!F:F)</f>
        <v>35171</v>
      </c>
      <c r="H127" s="45">
        <f>SUMIF(case!$L:$L,$B127,case!G:G)</f>
        <v>52406</v>
      </c>
      <c r="I127" s="45">
        <f>SUMIF(case!$L:$L,$B127,case!H:H)</f>
        <v>21783</v>
      </c>
      <c r="J127" s="45">
        <f>SUMIF(case!$L:$L,$B127,case!I:I)</f>
        <v>2994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42"/>
      <c r="B128" s="62" t="s">
        <v>366</v>
      </c>
      <c r="C128" s="45">
        <f>SUMIF(case!$L:$L,$B128,case!B:B)</f>
        <v>0</v>
      </c>
      <c r="D128" s="45">
        <f>SUMIF(case!$L:$L,$B128,case!C:C)</f>
        <v>0</v>
      </c>
      <c r="E128" s="45">
        <f>SUMIF(case!$L:$L,$B128,case!D:D)</f>
        <v>0</v>
      </c>
      <c r="F128" s="45">
        <f>SUMIF(case!$L:$L,$B128,case!E:E)</f>
        <v>0</v>
      </c>
      <c r="G128" s="45">
        <f>SUMIF(case!$L:$L,$B128,case!F:F)</f>
        <v>0</v>
      </c>
      <c r="H128" s="45">
        <f>SUMIF(case!$L:$L,$B128,case!G:G)</f>
        <v>0</v>
      </c>
      <c r="I128" s="45">
        <f>SUMIF(case!$L:$L,$B128,case!H:H)</f>
        <v>0</v>
      </c>
      <c r="J128" s="45">
        <f>SUMIF(case!$L:$L,$B128,case!I:I)</f>
        <v>0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42"/>
      <c r="B129" s="62" t="s">
        <v>294</v>
      </c>
      <c r="C129" s="45">
        <f>SUMIF(case!$L:$L,$B129,case!B:B)</f>
        <v>-21656</v>
      </c>
      <c r="D129" s="45">
        <f>SUMIF(case!$L:$L,$B129,case!C:C)</f>
        <v>-19768</v>
      </c>
      <c r="E129" s="45">
        <f>SUMIF(case!$L:$L,$B129,case!D:D)</f>
        <v>-15051</v>
      </c>
      <c r="F129" s="45">
        <f>SUMIF(case!$L:$L,$B129,case!E:E)</f>
        <v>-16091</v>
      </c>
      <c r="G129" s="45">
        <f>SUMIF(case!$L:$L,$B129,case!F:F)</f>
        <v>-13944</v>
      </c>
      <c r="H129" s="45">
        <f>SUMIF(case!$L:$L,$B129,case!G:G)</f>
        <v>-13280</v>
      </c>
      <c r="I129" s="45">
        <f>SUMIF(case!$L:$L,$B129,case!H:H)</f>
        <v>-11961</v>
      </c>
      <c r="J129" s="45">
        <f>SUMIF(case!$L:$L,$B129,case!I:I)</f>
        <v>-8187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42"/>
      <c r="B130" s="62" t="s">
        <v>296</v>
      </c>
      <c r="C130" s="45">
        <f>SUMIF(case!$L:$L,$B130,case!B:B)</f>
        <v>-52056</v>
      </c>
      <c r="D130" s="45">
        <f>SUMIF(case!$L:$L,$B130,case!C:C)</f>
        <v>-64169</v>
      </c>
      <c r="E130" s="45">
        <f>SUMIF(case!$L:$L,$B130,case!D:D)</f>
        <v>-60922</v>
      </c>
      <c r="F130" s="45">
        <f>SUMIF(case!$L:$L,$B130,case!E:E)</f>
        <v>-46167</v>
      </c>
      <c r="G130" s="45">
        <f>SUMIF(case!$L:$L,$B130,case!F:F)</f>
        <v>-38499</v>
      </c>
      <c r="H130" s="45">
        <f>SUMIF(case!$L:$L,$B130,case!G:G)</f>
        <v>-146519</v>
      </c>
      <c r="I130" s="45">
        <f>SUMIF(case!$L:$L,$B130,case!H:H)</f>
        <v>-177042</v>
      </c>
      <c r="J130" s="45">
        <f>SUMIF(case!$L:$L,$B130,case!I:I)</f>
        <v>-268294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38"/>
      <c r="B131" s="63" t="s">
        <v>367</v>
      </c>
      <c r="C131" s="56">
        <f t="shared" ref="C131:J131" si="42">C125+C126+C127+C130+C129+C128</f>
        <v>1588849</v>
      </c>
      <c r="D131" s="56">
        <f t="shared" si="42"/>
        <v>1117327</v>
      </c>
      <c r="E131" s="56">
        <f t="shared" si="42"/>
        <v>963975</v>
      </c>
      <c r="F131" s="56">
        <f t="shared" si="42"/>
        <v>1411257</v>
      </c>
      <c r="G131" s="56">
        <f t="shared" si="42"/>
        <v>1351726</v>
      </c>
      <c r="H131" s="56">
        <f t="shared" si="42"/>
        <v>1069627</v>
      </c>
      <c r="I131" s="56">
        <f t="shared" si="42"/>
        <v>1052950</v>
      </c>
      <c r="J131" s="56">
        <f t="shared" si="42"/>
        <v>635847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hidden="1" customHeight="1">
      <c r="A132" s="42"/>
      <c r="B132" s="62"/>
      <c r="C132" s="45"/>
      <c r="D132" s="45"/>
      <c r="E132" s="45"/>
      <c r="F132" s="45"/>
      <c r="G132" s="45"/>
      <c r="H132" s="45"/>
      <c r="I132" s="45"/>
      <c r="J132" s="45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hidden="1" customHeight="1">
      <c r="A133" s="42"/>
      <c r="B133" s="62" t="s">
        <v>368</v>
      </c>
      <c r="C133" s="45">
        <f>case!B201</f>
        <v>1588849</v>
      </c>
      <c r="D133" s="45">
        <f>case!C201</f>
        <v>1117327</v>
      </c>
      <c r="E133" s="45">
        <f>case!D201</f>
        <v>963975</v>
      </c>
      <c r="F133" s="45">
        <f>case!E201</f>
        <v>1411257</v>
      </c>
      <c r="G133" s="45">
        <f>case!F201</f>
        <v>1351726</v>
      </c>
      <c r="H133" s="45">
        <f>case!G201</f>
        <v>1069627</v>
      </c>
      <c r="I133" s="45">
        <f>case!H201</f>
        <v>1052950</v>
      </c>
      <c r="J133" s="45">
        <f>case!I201</f>
        <v>635847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hidden="1" customHeight="1">
      <c r="A134" s="42"/>
      <c r="B134" s="62" t="s">
        <v>369</v>
      </c>
      <c r="C134" s="45">
        <f t="shared" ref="C134:J134" si="43">C131-C133</f>
        <v>0</v>
      </c>
      <c r="D134" s="45">
        <f t="shared" si="43"/>
        <v>0</v>
      </c>
      <c r="E134" s="45">
        <f t="shared" si="43"/>
        <v>0</v>
      </c>
      <c r="F134" s="45">
        <f t="shared" si="43"/>
        <v>0</v>
      </c>
      <c r="G134" s="45">
        <f t="shared" si="43"/>
        <v>0</v>
      </c>
      <c r="H134" s="45">
        <f t="shared" si="43"/>
        <v>0</v>
      </c>
      <c r="I134" s="45">
        <f t="shared" si="43"/>
        <v>0</v>
      </c>
      <c r="J134" s="45">
        <f t="shared" si="43"/>
        <v>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42"/>
      <c r="B135" s="62"/>
      <c r="C135" s="45"/>
      <c r="D135" s="45"/>
      <c r="E135" s="45"/>
      <c r="F135" s="45"/>
      <c r="G135" s="45"/>
      <c r="H135" s="45"/>
      <c r="I135" s="45"/>
      <c r="J135" s="45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38"/>
      <c r="B136" s="61" t="s">
        <v>370</v>
      </c>
      <c r="C136" s="41"/>
      <c r="D136" s="41"/>
      <c r="E136" s="41"/>
      <c r="F136" s="41"/>
      <c r="G136" s="41"/>
      <c r="H136" s="41"/>
      <c r="I136" s="41"/>
      <c r="J136" s="41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42"/>
      <c r="B137" s="62" t="s">
        <v>298</v>
      </c>
      <c r="C137" s="45">
        <f>SUMIF(case!$L:$L,$B137,case!B:B)</f>
        <v>1756</v>
      </c>
      <c r="D137" s="45">
        <f>SUMIF(case!$L:$L,$B137,case!C:C)</f>
        <v>2087</v>
      </c>
      <c r="E137" s="45">
        <f>SUMIF(case!$L:$L,$B137,case!D:D)</f>
        <v>208</v>
      </c>
      <c r="F137" s="45">
        <f>SUMIF(case!$L:$L,$B137,case!E:E)</f>
        <v>391</v>
      </c>
      <c r="G137" s="45">
        <f>SUMIF(case!$L:$L,$B137,case!F:F)</f>
        <v>205</v>
      </c>
      <c r="H137" s="45">
        <f>SUMIF(case!$L:$L,$B137,case!G:G)</f>
        <v>4131</v>
      </c>
      <c r="I137" s="45">
        <f>SUMIF(case!$L:$L,$B137,case!H:H)</f>
        <v>185</v>
      </c>
      <c r="J137" s="45">
        <f>SUMIF(case!$L:$L,$B137,case!I:I)</f>
        <v>99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42"/>
      <c r="B138" s="62" t="s">
        <v>299</v>
      </c>
      <c r="C138" s="45">
        <f>SUMIF(case!$L:$L,$B138,case!B:B)</f>
        <v>-503404</v>
      </c>
      <c r="D138" s="45">
        <f>SUMIF(case!$L:$L,$B138,case!C:C)</f>
        <v>-528343</v>
      </c>
      <c r="E138" s="45">
        <f>SUMIF(case!$L:$L,$B138,case!D:D)</f>
        <v>-253674</v>
      </c>
      <c r="F138" s="45">
        <f>SUMIF(case!$L:$L,$B138,case!E:E)</f>
        <v>-207408</v>
      </c>
      <c r="G138" s="45">
        <f>SUMIF(case!$L:$L,$B138,case!F:F)</f>
        <v>-159160</v>
      </c>
      <c r="H138" s="45">
        <f>SUMIF(case!$L:$L,$B138,case!G:G)</f>
        <v>-102930</v>
      </c>
      <c r="I138" s="45">
        <f>SUMIF(case!$L:$L,$B138,case!H:H)</f>
        <v>-102001</v>
      </c>
      <c r="J138" s="45">
        <f>SUMIF(case!$L:$L,$B138,case!I:I)</f>
        <v>-102507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42"/>
      <c r="B139" s="62" t="s">
        <v>300</v>
      </c>
      <c r="C139" s="45">
        <f>SUMIF(case!$L:$L,$B139,case!B:B)</f>
        <v>0</v>
      </c>
      <c r="D139" s="45">
        <f>SUMIF(case!$L:$L,$B139,case!C:C)</f>
        <v>0</v>
      </c>
      <c r="E139" s="45">
        <f>SUMIF(case!$L:$L,$B139,case!D:D)</f>
        <v>0</v>
      </c>
      <c r="F139" s="45">
        <f>SUMIF(case!$L:$L,$B139,case!E:E)</f>
        <v>0</v>
      </c>
      <c r="G139" s="45">
        <f>SUMIF(case!$L:$L,$B139,case!F:F)</f>
        <v>0</v>
      </c>
      <c r="H139" s="45">
        <f>SUMIF(case!$L:$L,$B139,case!G:G)</f>
        <v>0</v>
      </c>
      <c r="I139" s="45">
        <f>SUMIF(case!$L:$L,$B139,case!H:H)</f>
        <v>0</v>
      </c>
      <c r="J139" s="45">
        <f>SUMIF(case!$L:$L,$B139,case!I:I)</f>
        <v>0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42"/>
      <c r="B140" s="62" t="s">
        <v>371</v>
      </c>
      <c r="C140" s="45">
        <f t="shared" ref="C140:J140" si="44">SUM(C137:C139)</f>
        <v>-501648</v>
      </c>
      <c r="D140" s="45">
        <f t="shared" si="44"/>
        <v>-526256</v>
      </c>
      <c r="E140" s="45">
        <f t="shared" si="44"/>
        <v>-253466</v>
      </c>
      <c r="F140" s="45">
        <f t="shared" si="44"/>
        <v>-207017</v>
      </c>
      <c r="G140" s="45">
        <f t="shared" si="44"/>
        <v>-158955</v>
      </c>
      <c r="H140" s="45">
        <f t="shared" si="44"/>
        <v>-98799</v>
      </c>
      <c r="I140" s="45">
        <f t="shared" si="44"/>
        <v>-101816</v>
      </c>
      <c r="J140" s="45">
        <f t="shared" si="44"/>
        <v>-102408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38"/>
      <c r="B141" s="63" t="s">
        <v>372</v>
      </c>
      <c r="C141" s="56">
        <f t="shared" ref="C141:J141" si="45">C131+C140</f>
        <v>1087201</v>
      </c>
      <c r="D141" s="56">
        <f t="shared" si="45"/>
        <v>591071</v>
      </c>
      <c r="E141" s="56">
        <f t="shared" si="45"/>
        <v>710509</v>
      </c>
      <c r="F141" s="56">
        <f t="shared" si="45"/>
        <v>1204240</v>
      </c>
      <c r="G141" s="56">
        <f t="shared" si="45"/>
        <v>1192771</v>
      </c>
      <c r="H141" s="56">
        <f t="shared" si="45"/>
        <v>970828</v>
      </c>
      <c r="I141" s="56">
        <f t="shared" si="45"/>
        <v>951134</v>
      </c>
      <c r="J141" s="56">
        <f t="shared" si="45"/>
        <v>533439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42"/>
      <c r="B142" s="62"/>
      <c r="C142" s="45"/>
      <c r="D142" s="45"/>
      <c r="E142" s="45"/>
      <c r="F142" s="45"/>
      <c r="G142" s="45"/>
      <c r="H142" s="45"/>
      <c r="I142" s="45"/>
      <c r="J142" s="45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38"/>
      <c r="B143" s="61" t="s">
        <v>373</v>
      </c>
      <c r="C143" s="41"/>
      <c r="D143" s="41"/>
      <c r="E143" s="41"/>
      <c r="F143" s="41"/>
      <c r="G143" s="41"/>
      <c r="H143" s="41"/>
      <c r="I143" s="41"/>
      <c r="J143" s="41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42"/>
      <c r="B144" s="62" t="s">
        <v>297</v>
      </c>
      <c r="C144" s="45">
        <f>SUMIF(case!$L:$L,$B144,case!B:B)</f>
        <v>0</v>
      </c>
      <c r="D144" s="45">
        <f>SUMIF(case!$L:$L,$B144,case!C:C)</f>
        <v>0</v>
      </c>
      <c r="E144" s="45">
        <f>SUMIF(case!$L:$L,$B144,case!D:D)</f>
        <v>0</v>
      </c>
      <c r="F144" s="45">
        <f>SUMIF(case!$L:$L,$B144,case!E:E)</f>
        <v>0</v>
      </c>
      <c r="G144" s="45">
        <f>SUMIF(case!$L:$L,$B144,case!F:F)</f>
        <v>0</v>
      </c>
      <c r="H144" s="45">
        <f>SUMIF(case!$L:$L,$B144,case!G:G)</f>
        <v>0</v>
      </c>
      <c r="I144" s="45">
        <f>SUMIF(case!$L:$L,$B144,case!H:H)</f>
        <v>0</v>
      </c>
      <c r="J144" s="45">
        <f>SUMIF(case!$L:$L,$B144,case!I:I)</f>
        <v>0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42"/>
      <c r="B145" s="62" t="s">
        <v>301</v>
      </c>
      <c r="C145" s="45">
        <f>SUMIF(case!$L:$L,$B145,case!B:B)</f>
        <v>0</v>
      </c>
      <c r="D145" s="45">
        <f>SUMIF(case!$L:$L,$B145,case!C:C)</f>
        <v>0</v>
      </c>
      <c r="E145" s="45">
        <f>SUMIF(case!$L:$L,$B145,case!D:D)</f>
        <v>0</v>
      </c>
      <c r="F145" s="45">
        <f>SUMIF(case!$L:$L,$B145,case!E:E)</f>
        <v>0</v>
      </c>
      <c r="G145" s="45">
        <f>SUMIF(case!$L:$L,$B145,case!F:F)</f>
        <v>0</v>
      </c>
      <c r="H145" s="45">
        <f>SUMIF(case!$L:$L,$B145,case!G:G)</f>
        <v>0</v>
      </c>
      <c r="I145" s="45">
        <f>SUMIF(case!$L:$L,$B145,case!H:H)</f>
        <v>0</v>
      </c>
      <c r="J145" s="45">
        <f>SUMIF(case!$L:$L,$B145,case!I:I)</f>
        <v>0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38"/>
      <c r="B146" s="63" t="s">
        <v>374</v>
      </c>
      <c r="C146" s="56">
        <f t="shared" ref="C146:J146" si="46">SUM(C144:C145)</f>
        <v>0</v>
      </c>
      <c r="D146" s="56">
        <f t="shared" si="46"/>
        <v>0</v>
      </c>
      <c r="E146" s="56">
        <f t="shared" si="46"/>
        <v>0</v>
      </c>
      <c r="F146" s="56">
        <f t="shared" si="46"/>
        <v>0</v>
      </c>
      <c r="G146" s="56">
        <f t="shared" si="46"/>
        <v>0</v>
      </c>
      <c r="H146" s="56">
        <f t="shared" si="46"/>
        <v>0</v>
      </c>
      <c r="I146" s="56">
        <f t="shared" si="46"/>
        <v>0</v>
      </c>
      <c r="J146" s="56">
        <f t="shared" si="46"/>
        <v>0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42"/>
      <c r="B147" s="62"/>
      <c r="C147" s="45"/>
      <c r="D147" s="45"/>
      <c r="E147" s="45"/>
      <c r="F147" s="45"/>
      <c r="G147" s="45"/>
      <c r="H147" s="45"/>
      <c r="I147" s="45"/>
      <c r="J147" s="45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42"/>
      <c r="B148" s="64" t="s">
        <v>375</v>
      </c>
      <c r="C148" s="41">
        <f t="shared" ref="C148:J148" si="47">C141+C146</f>
        <v>1087201</v>
      </c>
      <c r="D148" s="41">
        <f t="shared" si="47"/>
        <v>591071</v>
      </c>
      <c r="E148" s="41">
        <f t="shared" si="47"/>
        <v>710509</v>
      </c>
      <c r="F148" s="41">
        <f t="shared" si="47"/>
        <v>1204240</v>
      </c>
      <c r="G148" s="41">
        <f t="shared" si="47"/>
        <v>1192771</v>
      </c>
      <c r="H148" s="41">
        <f t="shared" si="47"/>
        <v>970828</v>
      </c>
      <c r="I148" s="41">
        <f t="shared" si="47"/>
        <v>951134</v>
      </c>
      <c r="J148" s="41">
        <f t="shared" si="47"/>
        <v>533439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42"/>
      <c r="B149" s="65" t="s">
        <v>302</v>
      </c>
      <c r="C149" s="56">
        <f>SUMIF(case!$L:$L,$B149,case!B:B)</f>
        <v>-187468</v>
      </c>
      <c r="D149" s="56">
        <f>SUMIF(case!$L:$L,$B149,case!C:C)</f>
        <v>-24404</v>
      </c>
      <c r="E149" s="56">
        <f>SUMIF(case!$L:$L,$B149,case!D:D)</f>
        <v>-31928</v>
      </c>
      <c r="F149" s="56">
        <f>SUMIF(case!$L:$L,$B149,case!E:E)</f>
        <v>-242937</v>
      </c>
      <c r="G149" s="56">
        <f>SUMIF(case!$L:$L,$B149,case!F:F)</f>
        <v>-271489</v>
      </c>
      <c r="H149" s="56">
        <f>SUMIF(case!$L:$L,$B149,case!G:G)</f>
        <v>-219192</v>
      </c>
      <c r="I149" s="56">
        <f>SUMIF(case!$L:$L,$B149,case!H:H)</f>
        <v>-280709</v>
      </c>
      <c r="J149" s="56">
        <f>SUMIF(case!$L:$L,$B149,case!I:I)</f>
        <v>-168693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38"/>
      <c r="B150" s="66" t="s">
        <v>376</v>
      </c>
      <c r="C150" s="58">
        <f t="shared" ref="C150:J150" si="48">C148+C149</f>
        <v>899733</v>
      </c>
      <c r="D150" s="58">
        <f t="shared" si="48"/>
        <v>566667</v>
      </c>
      <c r="E150" s="58">
        <f t="shared" si="48"/>
        <v>678581</v>
      </c>
      <c r="F150" s="58">
        <f t="shared" si="48"/>
        <v>961303</v>
      </c>
      <c r="G150" s="58">
        <f t="shared" si="48"/>
        <v>921282</v>
      </c>
      <c r="H150" s="58">
        <f t="shared" si="48"/>
        <v>751636</v>
      </c>
      <c r="I150" s="58">
        <f t="shared" si="48"/>
        <v>670425</v>
      </c>
      <c r="J150" s="58">
        <f t="shared" si="48"/>
        <v>364746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42"/>
      <c r="B151" s="42"/>
      <c r="C151" s="24"/>
      <c r="D151" s="24"/>
      <c r="E151" s="24"/>
      <c r="F151" s="24"/>
      <c r="G151" s="24"/>
      <c r="H151" s="24"/>
      <c r="I151" s="24"/>
      <c r="J151" s="24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42"/>
      <c r="B152" s="42" t="s">
        <v>377</v>
      </c>
      <c r="C152" s="24">
        <f>case!B249</f>
        <v>899733</v>
      </c>
      <c r="D152" s="24">
        <f>case!C249</f>
        <v>566667</v>
      </c>
      <c r="E152" s="24">
        <f>case!D249</f>
        <v>678581</v>
      </c>
      <c r="F152" s="24">
        <f>case!E249</f>
        <v>961303</v>
      </c>
      <c r="G152" s="24">
        <f>case!F249</f>
        <v>921282</v>
      </c>
      <c r="H152" s="24">
        <f>case!G249</f>
        <v>751636</v>
      </c>
      <c r="I152" s="24">
        <f>case!H249</f>
        <v>670425</v>
      </c>
      <c r="J152" s="24">
        <f>case!I249</f>
        <v>364746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42"/>
      <c r="B153" s="42" t="s">
        <v>378</v>
      </c>
      <c r="C153" s="24">
        <f t="shared" ref="C153:J153" si="49">C152-C150</f>
        <v>0</v>
      </c>
      <c r="D153" s="24">
        <f t="shared" si="49"/>
        <v>0</v>
      </c>
      <c r="E153" s="24">
        <f t="shared" si="49"/>
        <v>0</v>
      </c>
      <c r="F153" s="24">
        <f t="shared" si="49"/>
        <v>0</v>
      </c>
      <c r="G153" s="24">
        <f t="shared" si="49"/>
        <v>0</v>
      </c>
      <c r="H153" s="24">
        <f t="shared" si="49"/>
        <v>0</v>
      </c>
      <c r="I153" s="24">
        <f t="shared" si="49"/>
        <v>0</v>
      </c>
      <c r="J153" s="24">
        <f t="shared" si="49"/>
        <v>0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42"/>
      <c r="B154" s="42" t="s">
        <v>379</v>
      </c>
      <c r="C154" s="24">
        <f t="shared" ref="C154:J154" si="50">C150-C82</f>
        <v>0</v>
      </c>
      <c r="D154" s="24">
        <f t="shared" si="50"/>
        <v>0</v>
      </c>
      <c r="E154" s="24">
        <f t="shared" si="50"/>
        <v>0</v>
      </c>
      <c r="F154" s="24">
        <f t="shared" si="50"/>
        <v>0</v>
      </c>
      <c r="G154" s="24">
        <f t="shared" si="50"/>
        <v>0</v>
      </c>
      <c r="H154" s="24">
        <f t="shared" si="50"/>
        <v>0</v>
      </c>
      <c r="I154" s="24">
        <f t="shared" si="50"/>
        <v>0</v>
      </c>
      <c r="J154" s="24">
        <f t="shared" si="50"/>
        <v>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67"/>
      <c r="B155" s="67"/>
      <c r="C155" s="24"/>
      <c r="D155" s="24"/>
      <c r="E155" s="24"/>
      <c r="F155" s="24"/>
      <c r="G155" s="24"/>
      <c r="H155" s="24"/>
      <c r="I155" s="24"/>
      <c r="J155" s="24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42"/>
      <c r="B156" s="42" t="s">
        <v>380</v>
      </c>
      <c r="C156" s="68">
        <f t="shared" ref="C156:J156" si="51">C149/C148</f>
        <v>-0.1724317766</v>
      </c>
      <c r="D156" s="68">
        <f t="shared" si="51"/>
        <v>-0.04128776408</v>
      </c>
      <c r="E156" s="68">
        <f t="shared" si="51"/>
        <v>-0.04493679883</v>
      </c>
      <c r="F156" s="68">
        <f t="shared" si="51"/>
        <v>-0.201734704</v>
      </c>
      <c r="G156" s="68">
        <f t="shared" si="51"/>
        <v>-0.227612006</v>
      </c>
      <c r="H156" s="68">
        <f t="shared" si="51"/>
        <v>-0.2257784077</v>
      </c>
      <c r="I156" s="68">
        <f t="shared" si="51"/>
        <v>-0.2951308648</v>
      </c>
      <c r="J156" s="68">
        <f t="shared" si="51"/>
        <v>-0.3162367206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42"/>
      <c r="B157" s="42" t="s">
        <v>381</v>
      </c>
      <c r="C157" s="24">
        <f t="shared" ref="C157:J157" si="52">C156*C140</f>
        <v>86500.05589</v>
      </c>
      <c r="D157" s="24">
        <f t="shared" si="52"/>
        <v>21727.93357</v>
      </c>
      <c r="E157" s="24">
        <f t="shared" si="52"/>
        <v>11389.95065</v>
      </c>
      <c r="F157" s="24">
        <f t="shared" si="52"/>
        <v>41762.51323</v>
      </c>
      <c r="G157" s="24">
        <f t="shared" si="52"/>
        <v>36180.06641</v>
      </c>
      <c r="H157" s="24">
        <f t="shared" si="52"/>
        <v>22306.6809</v>
      </c>
      <c r="I157" s="24">
        <f t="shared" si="52"/>
        <v>30049.04413</v>
      </c>
      <c r="J157" s="24">
        <f t="shared" si="52"/>
        <v>32385.17008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24"/>
      <c r="D158" s="24"/>
      <c r="E158" s="24"/>
      <c r="F158" s="24"/>
      <c r="G158" s="24"/>
      <c r="H158" s="24"/>
      <c r="I158" s="24"/>
      <c r="J158" s="24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24"/>
      <c r="D159" s="24"/>
      <c r="E159" s="24"/>
      <c r="F159" s="24"/>
      <c r="G159" s="24"/>
      <c r="H159" s="24"/>
      <c r="I159" s="24"/>
      <c r="J159" s="24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24"/>
      <c r="D160" s="24"/>
      <c r="E160" s="24"/>
      <c r="F160" s="24"/>
      <c r="G160" s="24"/>
      <c r="H160" s="24"/>
      <c r="I160" s="24"/>
      <c r="J160" s="24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24"/>
      <c r="D161" s="24"/>
      <c r="E161" s="24"/>
      <c r="F161" s="24"/>
      <c r="G161" s="24"/>
      <c r="H161" s="24"/>
      <c r="I161" s="24"/>
      <c r="J161" s="24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24"/>
      <c r="D162" s="24"/>
      <c r="E162" s="24"/>
      <c r="F162" s="24"/>
      <c r="G162" s="24"/>
      <c r="H162" s="24"/>
      <c r="I162" s="24"/>
      <c r="J162" s="24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24"/>
      <c r="D163" s="24"/>
      <c r="E163" s="24"/>
      <c r="F163" s="24"/>
      <c r="G163" s="24"/>
      <c r="H163" s="24"/>
      <c r="I163" s="24"/>
      <c r="J163" s="24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24"/>
      <c r="D164" s="24"/>
      <c r="E164" s="24"/>
      <c r="F164" s="24"/>
      <c r="G164" s="24"/>
      <c r="H164" s="24"/>
      <c r="I164" s="24"/>
      <c r="J164" s="24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24"/>
      <c r="D165" s="24"/>
      <c r="E165" s="24"/>
      <c r="F165" s="24"/>
      <c r="G165" s="24"/>
      <c r="H165" s="24"/>
      <c r="I165" s="24"/>
      <c r="J165" s="24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24"/>
      <c r="D166" s="24"/>
      <c r="E166" s="24"/>
      <c r="F166" s="24"/>
      <c r="G166" s="24"/>
      <c r="H166" s="24"/>
      <c r="I166" s="24"/>
      <c r="J166" s="24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24"/>
      <c r="D167" s="24"/>
      <c r="E167" s="24"/>
      <c r="F167" s="24"/>
      <c r="G167" s="24"/>
      <c r="H167" s="24"/>
      <c r="I167" s="24"/>
      <c r="J167" s="24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24"/>
      <c r="D168" s="24"/>
      <c r="E168" s="24"/>
      <c r="F168" s="24"/>
      <c r="G168" s="24"/>
      <c r="H168" s="24"/>
      <c r="I168" s="24"/>
      <c r="J168" s="24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24"/>
      <c r="D169" s="24"/>
      <c r="E169" s="24"/>
      <c r="F169" s="24"/>
      <c r="G169" s="24"/>
      <c r="H169" s="24"/>
      <c r="I169" s="24"/>
      <c r="J169" s="24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24"/>
      <c r="D170" s="24"/>
      <c r="E170" s="24"/>
      <c r="F170" s="24"/>
      <c r="G170" s="24"/>
      <c r="H170" s="24"/>
      <c r="I170" s="24"/>
      <c r="J170" s="24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24"/>
      <c r="D171" s="24"/>
      <c r="E171" s="24"/>
      <c r="F171" s="24"/>
      <c r="G171" s="24"/>
      <c r="H171" s="24"/>
      <c r="I171" s="24"/>
      <c r="J171" s="24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24"/>
      <c r="D172" s="24"/>
      <c r="E172" s="24"/>
      <c r="F172" s="24"/>
      <c r="G172" s="24"/>
      <c r="H172" s="24"/>
      <c r="I172" s="24"/>
      <c r="J172" s="24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24"/>
      <c r="D173" s="24"/>
      <c r="E173" s="24"/>
      <c r="F173" s="24"/>
      <c r="G173" s="24"/>
      <c r="H173" s="24"/>
      <c r="I173" s="24"/>
      <c r="J173" s="24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24"/>
      <c r="D174" s="24"/>
      <c r="E174" s="24"/>
      <c r="F174" s="24"/>
      <c r="G174" s="24"/>
      <c r="H174" s="24"/>
      <c r="I174" s="24"/>
      <c r="J174" s="24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24"/>
      <c r="D175" s="24"/>
      <c r="E175" s="24"/>
      <c r="F175" s="24"/>
      <c r="G175" s="24"/>
      <c r="H175" s="24"/>
      <c r="I175" s="24"/>
      <c r="J175" s="24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24"/>
      <c r="D176" s="24"/>
      <c r="E176" s="24"/>
      <c r="F176" s="24"/>
      <c r="G176" s="24"/>
      <c r="H176" s="24"/>
      <c r="I176" s="24"/>
      <c r="J176" s="24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24"/>
      <c r="D177" s="24"/>
      <c r="E177" s="24"/>
      <c r="F177" s="24"/>
      <c r="G177" s="24"/>
      <c r="H177" s="24"/>
      <c r="I177" s="24"/>
      <c r="J177" s="24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24"/>
      <c r="D178" s="24"/>
      <c r="E178" s="24"/>
      <c r="F178" s="24"/>
      <c r="G178" s="24"/>
      <c r="H178" s="24"/>
      <c r="I178" s="24"/>
      <c r="J178" s="24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24"/>
      <c r="D179" s="24"/>
      <c r="E179" s="24"/>
      <c r="F179" s="24"/>
      <c r="G179" s="24"/>
      <c r="H179" s="24"/>
      <c r="I179" s="24"/>
      <c r="J179" s="24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24"/>
      <c r="D180" s="24"/>
      <c r="E180" s="24"/>
      <c r="F180" s="24"/>
      <c r="G180" s="24"/>
      <c r="H180" s="24"/>
      <c r="I180" s="24"/>
      <c r="J180" s="24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24"/>
      <c r="D181" s="24"/>
      <c r="E181" s="24"/>
      <c r="F181" s="24"/>
      <c r="G181" s="24"/>
      <c r="H181" s="24"/>
      <c r="I181" s="24"/>
      <c r="J181" s="24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24"/>
      <c r="D182" s="24"/>
      <c r="E182" s="24"/>
      <c r="F182" s="24"/>
      <c r="G182" s="24"/>
      <c r="H182" s="24"/>
      <c r="I182" s="24"/>
      <c r="J182" s="24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24"/>
      <c r="D183" s="24"/>
      <c r="E183" s="24"/>
      <c r="F183" s="24"/>
      <c r="G183" s="24"/>
      <c r="H183" s="24"/>
      <c r="I183" s="24"/>
      <c r="J183" s="24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24"/>
      <c r="D184" s="24"/>
      <c r="E184" s="24"/>
      <c r="F184" s="24"/>
      <c r="G184" s="24"/>
      <c r="H184" s="24"/>
      <c r="I184" s="24"/>
      <c r="J184" s="24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24"/>
      <c r="D185" s="24"/>
      <c r="E185" s="24"/>
      <c r="F185" s="24"/>
      <c r="G185" s="24"/>
      <c r="H185" s="24"/>
      <c r="I185" s="24"/>
      <c r="J185" s="24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24"/>
      <c r="D186" s="24"/>
      <c r="E186" s="24"/>
      <c r="F186" s="24"/>
      <c r="G186" s="24"/>
      <c r="H186" s="24"/>
      <c r="I186" s="24"/>
      <c r="J186" s="24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24"/>
      <c r="D187" s="24"/>
      <c r="E187" s="24"/>
      <c r="F187" s="24"/>
      <c r="G187" s="24"/>
      <c r="H187" s="24"/>
      <c r="I187" s="24"/>
      <c r="J187" s="24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24"/>
      <c r="D188" s="24"/>
      <c r="E188" s="24"/>
      <c r="F188" s="24"/>
      <c r="G188" s="24"/>
      <c r="H188" s="24"/>
      <c r="I188" s="24"/>
      <c r="J188" s="24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24"/>
      <c r="D189" s="24"/>
      <c r="E189" s="24"/>
      <c r="F189" s="24"/>
      <c r="G189" s="24"/>
      <c r="H189" s="24"/>
      <c r="I189" s="24"/>
      <c r="J189" s="24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24"/>
      <c r="D190" s="24"/>
      <c r="E190" s="24"/>
      <c r="F190" s="24"/>
      <c r="G190" s="24"/>
      <c r="H190" s="24"/>
      <c r="I190" s="24"/>
      <c r="J190" s="24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24"/>
      <c r="D191" s="24"/>
      <c r="E191" s="24"/>
      <c r="F191" s="24"/>
      <c r="G191" s="24"/>
      <c r="H191" s="24"/>
      <c r="I191" s="24"/>
      <c r="J191" s="24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24"/>
      <c r="D192" s="24"/>
      <c r="E192" s="24"/>
      <c r="F192" s="24"/>
      <c r="G192" s="24"/>
      <c r="H192" s="24"/>
      <c r="I192" s="24"/>
      <c r="J192" s="24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24"/>
      <c r="D193" s="24"/>
      <c r="E193" s="24"/>
      <c r="F193" s="24"/>
      <c r="G193" s="24"/>
      <c r="H193" s="24"/>
      <c r="I193" s="24"/>
      <c r="J193" s="24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24"/>
      <c r="D194" s="24"/>
      <c r="E194" s="24"/>
      <c r="F194" s="24"/>
      <c r="G194" s="24"/>
      <c r="H194" s="24"/>
      <c r="I194" s="24"/>
      <c r="J194" s="24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24"/>
      <c r="D195" s="24"/>
      <c r="E195" s="24"/>
      <c r="F195" s="24"/>
      <c r="G195" s="24"/>
      <c r="H195" s="24"/>
      <c r="I195" s="24"/>
      <c r="J195" s="24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24"/>
      <c r="D196" s="24"/>
      <c r="E196" s="24"/>
      <c r="F196" s="24"/>
      <c r="G196" s="24"/>
      <c r="H196" s="24"/>
      <c r="I196" s="24"/>
      <c r="J196" s="24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24"/>
      <c r="D197" s="24"/>
      <c r="E197" s="24"/>
      <c r="F197" s="24"/>
      <c r="G197" s="24"/>
      <c r="H197" s="24"/>
      <c r="I197" s="24"/>
      <c r="J197" s="24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24"/>
      <c r="D198" s="24"/>
      <c r="E198" s="24"/>
      <c r="F198" s="24"/>
      <c r="G198" s="24"/>
      <c r="H198" s="24"/>
      <c r="I198" s="24"/>
      <c r="J198" s="24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24"/>
      <c r="D199" s="24"/>
      <c r="E199" s="24"/>
      <c r="F199" s="24"/>
      <c r="G199" s="24"/>
      <c r="H199" s="24"/>
      <c r="I199" s="24"/>
      <c r="J199" s="24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24"/>
      <c r="D200" s="24"/>
      <c r="E200" s="24"/>
      <c r="F200" s="24"/>
      <c r="G200" s="24"/>
      <c r="H200" s="24"/>
      <c r="I200" s="24"/>
      <c r="J200" s="24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24"/>
      <c r="D201" s="24"/>
      <c r="E201" s="24"/>
      <c r="F201" s="24"/>
      <c r="G201" s="24"/>
      <c r="H201" s="24"/>
      <c r="I201" s="24"/>
      <c r="J201" s="24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24"/>
      <c r="D202" s="24"/>
      <c r="E202" s="24"/>
      <c r="F202" s="24"/>
      <c r="G202" s="24"/>
      <c r="H202" s="24"/>
      <c r="I202" s="24"/>
      <c r="J202" s="24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24"/>
      <c r="D203" s="24"/>
      <c r="E203" s="24"/>
      <c r="F203" s="24"/>
      <c r="G203" s="24"/>
      <c r="H203" s="24"/>
      <c r="I203" s="24"/>
      <c r="J203" s="24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24"/>
      <c r="D204" s="24"/>
      <c r="E204" s="24"/>
      <c r="F204" s="24"/>
      <c r="G204" s="24"/>
      <c r="H204" s="24"/>
      <c r="I204" s="24"/>
      <c r="J204" s="24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24"/>
      <c r="D205" s="24"/>
      <c r="E205" s="24"/>
      <c r="F205" s="24"/>
      <c r="G205" s="24"/>
      <c r="H205" s="24"/>
      <c r="I205" s="24"/>
      <c r="J205" s="24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24"/>
      <c r="D206" s="24"/>
      <c r="E206" s="24"/>
      <c r="F206" s="24"/>
      <c r="G206" s="24"/>
      <c r="H206" s="24"/>
      <c r="I206" s="24"/>
      <c r="J206" s="24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24"/>
      <c r="D207" s="24"/>
      <c r="E207" s="24"/>
      <c r="F207" s="24"/>
      <c r="G207" s="24"/>
      <c r="H207" s="24"/>
      <c r="I207" s="24"/>
      <c r="J207" s="24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24"/>
      <c r="D208" s="24"/>
      <c r="E208" s="24"/>
      <c r="F208" s="24"/>
      <c r="G208" s="24"/>
      <c r="H208" s="24"/>
      <c r="I208" s="24"/>
      <c r="J208" s="24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24"/>
      <c r="D209" s="24"/>
      <c r="E209" s="24"/>
      <c r="F209" s="24"/>
      <c r="G209" s="24"/>
      <c r="H209" s="24"/>
      <c r="I209" s="24"/>
      <c r="J209" s="24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24"/>
      <c r="D210" s="24"/>
      <c r="E210" s="24"/>
      <c r="F210" s="24"/>
      <c r="G210" s="24"/>
      <c r="H210" s="24"/>
      <c r="I210" s="24"/>
      <c r="J210" s="24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24"/>
      <c r="D211" s="24"/>
      <c r="E211" s="24"/>
      <c r="F211" s="24"/>
      <c r="G211" s="24"/>
      <c r="H211" s="24"/>
      <c r="I211" s="24"/>
      <c r="J211" s="24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24"/>
      <c r="D212" s="24"/>
      <c r="E212" s="24"/>
      <c r="F212" s="24"/>
      <c r="G212" s="24"/>
      <c r="H212" s="24"/>
      <c r="I212" s="24"/>
      <c r="J212" s="24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24"/>
      <c r="D213" s="24"/>
      <c r="E213" s="24"/>
      <c r="F213" s="24"/>
      <c r="G213" s="24"/>
      <c r="H213" s="24"/>
      <c r="I213" s="24"/>
      <c r="J213" s="24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24"/>
      <c r="D214" s="24"/>
      <c r="E214" s="24"/>
      <c r="F214" s="24"/>
      <c r="G214" s="24"/>
      <c r="H214" s="24"/>
      <c r="I214" s="24"/>
      <c r="J214" s="24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24"/>
      <c r="D215" s="24"/>
      <c r="E215" s="24"/>
      <c r="F215" s="24"/>
      <c r="G215" s="24"/>
      <c r="H215" s="24"/>
      <c r="I215" s="24"/>
      <c r="J215" s="24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24"/>
      <c r="D216" s="24"/>
      <c r="E216" s="24"/>
      <c r="F216" s="24"/>
      <c r="G216" s="24"/>
      <c r="H216" s="24"/>
      <c r="I216" s="24"/>
      <c r="J216" s="24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24"/>
      <c r="D217" s="24"/>
      <c r="E217" s="24"/>
      <c r="F217" s="24"/>
      <c r="G217" s="24"/>
      <c r="H217" s="24"/>
      <c r="I217" s="24"/>
      <c r="J217" s="24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24"/>
      <c r="D218" s="24"/>
      <c r="E218" s="24"/>
      <c r="F218" s="24"/>
      <c r="G218" s="24"/>
      <c r="H218" s="24"/>
      <c r="I218" s="24"/>
      <c r="J218" s="24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24"/>
      <c r="D219" s="24"/>
      <c r="E219" s="24"/>
      <c r="F219" s="24"/>
      <c r="G219" s="24"/>
      <c r="H219" s="24"/>
      <c r="I219" s="24"/>
      <c r="J219" s="24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24"/>
      <c r="D220" s="24"/>
      <c r="E220" s="24"/>
      <c r="F220" s="24"/>
      <c r="G220" s="24"/>
      <c r="H220" s="24"/>
      <c r="I220" s="24"/>
      <c r="J220" s="24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24"/>
      <c r="D221" s="24"/>
      <c r="E221" s="24"/>
      <c r="F221" s="24"/>
      <c r="G221" s="24"/>
      <c r="H221" s="24"/>
      <c r="I221" s="24"/>
      <c r="J221" s="24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24"/>
      <c r="D222" s="24"/>
      <c r="E222" s="24"/>
      <c r="F222" s="24"/>
      <c r="G222" s="24"/>
      <c r="H222" s="24"/>
      <c r="I222" s="24"/>
      <c r="J222" s="24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24"/>
      <c r="D223" s="24"/>
      <c r="E223" s="24"/>
      <c r="F223" s="24"/>
      <c r="G223" s="24"/>
      <c r="H223" s="24"/>
      <c r="I223" s="24"/>
      <c r="J223" s="24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24"/>
      <c r="D224" s="24"/>
      <c r="E224" s="24"/>
      <c r="F224" s="24"/>
      <c r="G224" s="24"/>
      <c r="H224" s="24"/>
      <c r="I224" s="24"/>
      <c r="J224" s="24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24"/>
      <c r="D225" s="24"/>
      <c r="E225" s="24"/>
      <c r="F225" s="24"/>
      <c r="G225" s="24"/>
      <c r="H225" s="24"/>
      <c r="I225" s="24"/>
      <c r="J225" s="24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24"/>
      <c r="D226" s="24"/>
      <c r="E226" s="24"/>
      <c r="F226" s="24"/>
      <c r="G226" s="24"/>
      <c r="H226" s="24"/>
      <c r="I226" s="24"/>
      <c r="J226" s="24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24"/>
      <c r="D227" s="24"/>
      <c r="E227" s="24"/>
      <c r="F227" s="24"/>
      <c r="G227" s="24"/>
      <c r="H227" s="24"/>
      <c r="I227" s="24"/>
      <c r="J227" s="24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24"/>
      <c r="D228" s="24"/>
      <c r="E228" s="24"/>
      <c r="F228" s="24"/>
      <c r="G228" s="24"/>
      <c r="H228" s="24"/>
      <c r="I228" s="24"/>
      <c r="J228" s="24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24"/>
      <c r="D229" s="24"/>
      <c r="E229" s="24"/>
      <c r="F229" s="24"/>
      <c r="G229" s="24"/>
      <c r="H229" s="24"/>
      <c r="I229" s="24"/>
      <c r="J229" s="24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24"/>
      <c r="D230" s="24"/>
      <c r="E230" s="24"/>
      <c r="F230" s="24"/>
      <c r="G230" s="24"/>
      <c r="H230" s="24"/>
      <c r="I230" s="24"/>
      <c r="J230" s="24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24"/>
      <c r="D231" s="24"/>
      <c r="E231" s="24"/>
      <c r="F231" s="24"/>
      <c r="G231" s="24"/>
      <c r="H231" s="24"/>
      <c r="I231" s="24"/>
      <c r="J231" s="24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24"/>
      <c r="D232" s="24"/>
      <c r="E232" s="24"/>
      <c r="F232" s="24"/>
      <c r="G232" s="24"/>
      <c r="H232" s="24"/>
      <c r="I232" s="24"/>
      <c r="J232" s="24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24"/>
      <c r="D233" s="24"/>
      <c r="E233" s="24"/>
      <c r="F233" s="24"/>
      <c r="G233" s="24"/>
      <c r="H233" s="24"/>
      <c r="I233" s="24"/>
      <c r="J233" s="24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24"/>
      <c r="D234" s="24"/>
      <c r="E234" s="24"/>
      <c r="F234" s="24"/>
      <c r="G234" s="24"/>
      <c r="H234" s="24"/>
      <c r="I234" s="24"/>
      <c r="J234" s="24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24"/>
      <c r="D235" s="24"/>
      <c r="E235" s="24"/>
      <c r="F235" s="24"/>
      <c r="G235" s="24"/>
      <c r="H235" s="24"/>
      <c r="I235" s="24"/>
      <c r="J235" s="24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24"/>
      <c r="D236" s="24"/>
      <c r="E236" s="24"/>
      <c r="F236" s="24"/>
      <c r="G236" s="24"/>
      <c r="H236" s="24"/>
      <c r="I236" s="24"/>
      <c r="J236" s="24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24"/>
      <c r="D237" s="24"/>
      <c r="E237" s="24"/>
      <c r="F237" s="24"/>
      <c r="G237" s="24"/>
      <c r="H237" s="24"/>
      <c r="I237" s="24"/>
      <c r="J237" s="24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24"/>
      <c r="D238" s="24"/>
      <c r="E238" s="24"/>
      <c r="F238" s="24"/>
      <c r="G238" s="24"/>
      <c r="H238" s="24"/>
      <c r="I238" s="24"/>
      <c r="J238" s="24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24"/>
      <c r="D239" s="24"/>
      <c r="E239" s="24"/>
      <c r="F239" s="24"/>
      <c r="G239" s="24"/>
      <c r="H239" s="24"/>
      <c r="I239" s="24"/>
      <c r="J239" s="24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24"/>
      <c r="D240" s="24"/>
      <c r="E240" s="24"/>
      <c r="F240" s="24"/>
      <c r="G240" s="24"/>
      <c r="H240" s="24"/>
      <c r="I240" s="24"/>
      <c r="J240" s="24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24"/>
      <c r="D241" s="24"/>
      <c r="E241" s="24"/>
      <c r="F241" s="24"/>
      <c r="G241" s="24"/>
      <c r="H241" s="24"/>
      <c r="I241" s="24"/>
      <c r="J241" s="24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24"/>
      <c r="D242" s="24"/>
      <c r="E242" s="24"/>
      <c r="F242" s="24"/>
      <c r="G242" s="24"/>
      <c r="H242" s="24"/>
      <c r="I242" s="24"/>
      <c r="J242" s="24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24"/>
      <c r="D243" s="24"/>
      <c r="E243" s="24"/>
      <c r="F243" s="24"/>
      <c r="G243" s="24"/>
      <c r="H243" s="24"/>
      <c r="I243" s="24"/>
      <c r="J243" s="24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24"/>
      <c r="D244" s="24"/>
      <c r="E244" s="24"/>
      <c r="F244" s="24"/>
      <c r="G244" s="24"/>
      <c r="H244" s="24"/>
      <c r="I244" s="24"/>
      <c r="J244" s="24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24"/>
      <c r="D245" s="24"/>
      <c r="E245" s="24"/>
      <c r="F245" s="24"/>
      <c r="G245" s="24"/>
      <c r="H245" s="24"/>
      <c r="I245" s="24"/>
      <c r="J245" s="24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24"/>
      <c r="D246" s="24"/>
      <c r="E246" s="24"/>
      <c r="F246" s="24"/>
      <c r="G246" s="24"/>
      <c r="H246" s="24"/>
      <c r="I246" s="24"/>
      <c r="J246" s="24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24"/>
      <c r="D247" s="24"/>
      <c r="E247" s="24"/>
      <c r="F247" s="24"/>
      <c r="G247" s="24"/>
      <c r="H247" s="24"/>
      <c r="I247" s="24"/>
      <c r="J247" s="24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24"/>
      <c r="D248" s="24"/>
      <c r="E248" s="24"/>
      <c r="F248" s="24"/>
      <c r="G248" s="24"/>
      <c r="H248" s="24"/>
      <c r="I248" s="24"/>
      <c r="J248" s="24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24"/>
      <c r="D249" s="24"/>
      <c r="E249" s="24"/>
      <c r="F249" s="24"/>
      <c r="G249" s="24"/>
      <c r="H249" s="24"/>
      <c r="I249" s="24"/>
      <c r="J249" s="24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24"/>
      <c r="D250" s="24"/>
      <c r="E250" s="24"/>
      <c r="F250" s="24"/>
      <c r="G250" s="24"/>
      <c r="H250" s="24"/>
      <c r="I250" s="24"/>
      <c r="J250" s="24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24"/>
      <c r="D251" s="24"/>
      <c r="E251" s="24"/>
      <c r="F251" s="24"/>
      <c r="G251" s="24"/>
      <c r="H251" s="24"/>
      <c r="I251" s="24"/>
      <c r="J251" s="24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24"/>
      <c r="D252" s="24"/>
      <c r="E252" s="24"/>
      <c r="F252" s="24"/>
      <c r="G252" s="24"/>
      <c r="H252" s="24"/>
      <c r="I252" s="24"/>
      <c r="J252" s="24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24"/>
      <c r="D253" s="24"/>
      <c r="E253" s="24"/>
      <c r="F253" s="24"/>
      <c r="G253" s="24"/>
      <c r="H253" s="24"/>
      <c r="I253" s="24"/>
      <c r="J253" s="24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24"/>
      <c r="D254" s="24"/>
      <c r="E254" s="24"/>
      <c r="F254" s="24"/>
      <c r="G254" s="24"/>
      <c r="H254" s="24"/>
      <c r="I254" s="24"/>
      <c r="J254" s="24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24"/>
      <c r="D255" s="24"/>
      <c r="E255" s="24"/>
      <c r="F255" s="24"/>
      <c r="G255" s="24"/>
      <c r="H255" s="24"/>
      <c r="I255" s="24"/>
      <c r="J255" s="24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24"/>
      <c r="D256" s="24"/>
      <c r="E256" s="24"/>
      <c r="F256" s="24"/>
      <c r="G256" s="24"/>
      <c r="H256" s="24"/>
      <c r="I256" s="24"/>
      <c r="J256" s="24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24"/>
      <c r="D257" s="24"/>
      <c r="E257" s="24"/>
      <c r="F257" s="24"/>
      <c r="G257" s="24"/>
      <c r="H257" s="24"/>
      <c r="I257" s="24"/>
      <c r="J257" s="24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24"/>
      <c r="D258" s="24"/>
      <c r="E258" s="24"/>
      <c r="F258" s="24"/>
      <c r="G258" s="24"/>
      <c r="H258" s="24"/>
      <c r="I258" s="24"/>
      <c r="J258" s="24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24"/>
      <c r="D259" s="24"/>
      <c r="E259" s="24"/>
      <c r="F259" s="24"/>
      <c r="G259" s="24"/>
      <c r="H259" s="24"/>
      <c r="I259" s="24"/>
      <c r="J259" s="24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24"/>
      <c r="D260" s="24"/>
      <c r="E260" s="24"/>
      <c r="F260" s="24"/>
      <c r="G260" s="24"/>
      <c r="H260" s="24"/>
      <c r="I260" s="24"/>
      <c r="J260" s="24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24"/>
      <c r="D261" s="24"/>
      <c r="E261" s="24"/>
      <c r="F261" s="24"/>
      <c r="G261" s="24"/>
      <c r="H261" s="24"/>
      <c r="I261" s="24"/>
      <c r="J261" s="24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24"/>
      <c r="D262" s="24"/>
      <c r="E262" s="24"/>
      <c r="F262" s="24"/>
      <c r="G262" s="24"/>
      <c r="H262" s="24"/>
      <c r="I262" s="24"/>
      <c r="J262" s="24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24"/>
      <c r="D263" s="24"/>
      <c r="E263" s="24"/>
      <c r="F263" s="24"/>
      <c r="G263" s="24"/>
      <c r="H263" s="24"/>
      <c r="I263" s="24"/>
      <c r="J263" s="24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24"/>
      <c r="D264" s="24"/>
      <c r="E264" s="24"/>
      <c r="F264" s="24"/>
      <c r="G264" s="24"/>
      <c r="H264" s="24"/>
      <c r="I264" s="24"/>
      <c r="J264" s="24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24"/>
      <c r="D265" s="24"/>
      <c r="E265" s="24"/>
      <c r="F265" s="24"/>
      <c r="G265" s="24"/>
      <c r="H265" s="24"/>
      <c r="I265" s="24"/>
      <c r="J265" s="24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24"/>
      <c r="D266" s="24"/>
      <c r="E266" s="24"/>
      <c r="F266" s="24"/>
      <c r="G266" s="24"/>
      <c r="H266" s="24"/>
      <c r="I266" s="24"/>
      <c r="J266" s="24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24"/>
      <c r="D267" s="24"/>
      <c r="E267" s="24"/>
      <c r="F267" s="24"/>
      <c r="G267" s="24"/>
      <c r="H267" s="24"/>
      <c r="I267" s="24"/>
      <c r="J267" s="24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24"/>
      <c r="D268" s="24"/>
      <c r="E268" s="24"/>
      <c r="F268" s="24"/>
      <c r="G268" s="24"/>
      <c r="H268" s="24"/>
      <c r="I268" s="24"/>
      <c r="J268" s="24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24"/>
      <c r="D269" s="24"/>
      <c r="E269" s="24"/>
      <c r="F269" s="24"/>
      <c r="G269" s="24"/>
      <c r="H269" s="24"/>
      <c r="I269" s="24"/>
      <c r="J269" s="24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24"/>
      <c r="D270" s="24"/>
      <c r="E270" s="24"/>
      <c r="F270" s="24"/>
      <c r="G270" s="24"/>
      <c r="H270" s="24"/>
      <c r="I270" s="24"/>
      <c r="J270" s="24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24"/>
      <c r="D271" s="24"/>
      <c r="E271" s="24"/>
      <c r="F271" s="24"/>
      <c r="G271" s="24"/>
      <c r="H271" s="24"/>
      <c r="I271" s="24"/>
      <c r="J271" s="24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24"/>
      <c r="D272" s="24"/>
      <c r="E272" s="24"/>
      <c r="F272" s="24"/>
      <c r="G272" s="24"/>
      <c r="H272" s="24"/>
      <c r="I272" s="24"/>
      <c r="J272" s="24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24"/>
      <c r="D273" s="24"/>
      <c r="E273" s="24"/>
      <c r="F273" s="24"/>
      <c r="G273" s="24"/>
      <c r="H273" s="24"/>
      <c r="I273" s="24"/>
      <c r="J273" s="24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24"/>
      <c r="D274" s="24"/>
      <c r="E274" s="24"/>
      <c r="F274" s="24"/>
      <c r="G274" s="24"/>
      <c r="H274" s="24"/>
      <c r="I274" s="24"/>
      <c r="J274" s="24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24"/>
      <c r="D275" s="24"/>
      <c r="E275" s="24"/>
      <c r="F275" s="24"/>
      <c r="G275" s="24"/>
      <c r="H275" s="24"/>
      <c r="I275" s="24"/>
      <c r="J275" s="24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24"/>
      <c r="D276" s="24"/>
      <c r="E276" s="24"/>
      <c r="F276" s="24"/>
      <c r="G276" s="24"/>
      <c r="H276" s="24"/>
      <c r="I276" s="24"/>
      <c r="J276" s="24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24"/>
      <c r="D277" s="24"/>
      <c r="E277" s="24"/>
      <c r="F277" s="24"/>
      <c r="G277" s="24"/>
      <c r="H277" s="24"/>
      <c r="I277" s="24"/>
      <c r="J277" s="24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24"/>
      <c r="D278" s="24"/>
      <c r="E278" s="24"/>
      <c r="F278" s="24"/>
      <c r="G278" s="24"/>
      <c r="H278" s="24"/>
      <c r="I278" s="24"/>
      <c r="J278" s="24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24"/>
      <c r="D279" s="24"/>
      <c r="E279" s="24"/>
      <c r="F279" s="24"/>
      <c r="G279" s="24"/>
      <c r="H279" s="24"/>
      <c r="I279" s="24"/>
      <c r="J279" s="24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24"/>
      <c r="D280" s="24"/>
      <c r="E280" s="24"/>
      <c r="F280" s="24"/>
      <c r="G280" s="24"/>
      <c r="H280" s="24"/>
      <c r="I280" s="24"/>
      <c r="J280" s="24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24"/>
      <c r="D281" s="24"/>
      <c r="E281" s="24"/>
      <c r="F281" s="24"/>
      <c r="G281" s="24"/>
      <c r="H281" s="24"/>
      <c r="I281" s="24"/>
      <c r="J281" s="24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24"/>
      <c r="D282" s="24"/>
      <c r="E282" s="24"/>
      <c r="F282" s="24"/>
      <c r="G282" s="24"/>
      <c r="H282" s="24"/>
      <c r="I282" s="24"/>
      <c r="J282" s="24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24"/>
      <c r="D283" s="24"/>
      <c r="E283" s="24"/>
      <c r="F283" s="24"/>
      <c r="G283" s="24"/>
      <c r="H283" s="24"/>
      <c r="I283" s="24"/>
      <c r="J283" s="24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24"/>
      <c r="D284" s="24"/>
      <c r="E284" s="24"/>
      <c r="F284" s="24"/>
      <c r="G284" s="24"/>
      <c r="H284" s="24"/>
      <c r="I284" s="24"/>
      <c r="J284" s="24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24"/>
      <c r="D285" s="24"/>
      <c r="E285" s="24"/>
      <c r="F285" s="24"/>
      <c r="G285" s="24"/>
      <c r="H285" s="24"/>
      <c r="I285" s="24"/>
      <c r="J285" s="24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24"/>
      <c r="D286" s="24"/>
      <c r="E286" s="24"/>
      <c r="F286" s="24"/>
      <c r="G286" s="24"/>
      <c r="H286" s="24"/>
      <c r="I286" s="24"/>
      <c r="J286" s="24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24"/>
      <c r="D287" s="24"/>
      <c r="E287" s="24"/>
      <c r="F287" s="24"/>
      <c r="G287" s="24"/>
      <c r="H287" s="24"/>
      <c r="I287" s="24"/>
      <c r="J287" s="24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24"/>
      <c r="D288" s="24"/>
      <c r="E288" s="24"/>
      <c r="F288" s="24"/>
      <c r="G288" s="24"/>
      <c r="H288" s="24"/>
      <c r="I288" s="24"/>
      <c r="J288" s="24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24"/>
      <c r="D289" s="24"/>
      <c r="E289" s="24"/>
      <c r="F289" s="24"/>
      <c r="G289" s="24"/>
      <c r="H289" s="24"/>
      <c r="I289" s="24"/>
      <c r="J289" s="24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24"/>
      <c r="D290" s="24"/>
      <c r="E290" s="24"/>
      <c r="F290" s="24"/>
      <c r="G290" s="24"/>
      <c r="H290" s="24"/>
      <c r="I290" s="24"/>
      <c r="J290" s="24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24"/>
      <c r="D291" s="24"/>
      <c r="E291" s="24"/>
      <c r="F291" s="24"/>
      <c r="G291" s="24"/>
      <c r="H291" s="24"/>
      <c r="I291" s="24"/>
      <c r="J291" s="24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24"/>
      <c r="D292" s="24"/>
      <c r="E292" s="24"/>
      <c r="F292" s="24"/>
      <c r="G292" s="24"/>
      <c r="H292" s="24"/>
      <c r="I292" s="24"/>
      <c r="J292" s="24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24"/>
      <c r="D293" s="24"/>
      <c r="E293" s="24"/>
      <c r="F293" s="24"/>
      <c r="G293" s="24"/>
      <c r="H293" s="24"/>
      <c r="I293" s="24"/>
      <c r="J293" s="24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24"/>
      <c r="D294" s="24"/>
      <c r="E294" s="24"/>
      <c r="F294" s="24"/>
      <c r="G294" s="24"/>
      <c r="H294" s="24"/>
      <c r="I294" s="24"/>
      <c r="J294" s="24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24"/>
      <c r="D295" s="24"/>
      <c r="E295" s="24"/>
      <c r="F295" s="24"/>
      <c r="G295" s="24"/>
      <c r="H295" s="24"/>
      <c r="I295" s="24"/>
      <c r="J295" s="24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24"/>
      <c r="D296" s="24"/>
      <c r="E296" s="24"/>
      <c r="F296" s="24"/>
      <c r="G296" s="24"/>
      <c r="H296" s="24"/>
      <c r="I296" s="24"/>
      <c r="J296" s="24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24"/>
      <c r="D297" s="24"/>
      <c r="E297" s="24"/>
      <c r="F297" s="24"/>
      <c r="G297" s="24"/>
      <c r="H297" s="24"/>
      <c r="I297" s="24"/>
      <c r="J297" s="24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24"/>
      <c r="D298" s="24"/>
      <c r="E298" s="24"/>
      <c r="F298" s="24"/>
      <c r="G298" s="24"/>
      <c r="H298" s="24"/>
      <c r="I298" s="24"/>
      <c r="J298" s="24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24"/>
      <c r="D299" s="24"/>
      <c r="E299" s="24"/>
      <c r="F299" s="24"/>
      <c r="G299" s="24"/>
      <c r="H299" s="24"/>
      <c r="I299" s="24"/>
      <c r="J299" s="24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24"/>
      <c r="D300" s="24"/>
      <c r="E300" s="24"/>
      <c r="F300" s="24"/>
      <c r="G300" s="24"/>
      <c r="H300" s="24"/>
      <c r="I300" s="24"/>
      <c r="J300" s="24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24"/>
      <c r="D301" s="24"/>
      <c r="E301" s="24"/>
      <c r="F301" s="24"/>
      <c r="G301" s="24"/>
      <c r="H301" s="24"/>
      <c r="I301" s="24"/>
      <c r="J301" s="24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24"/>
      <c r="D302" s="24"/>
      <c r="E302" s="24"/>
      <c r="F302" s="24"/>
      <c r="G302" s="24"/>
      <c r="H302" s="24"/>
      <c r="I302" s="24"/>
      <c r="J302" s="24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24"/>
      <c r="D303" s="24"/>
      <c r="E303" s="24"/>
      <c r="F303" s="24"/>
      <c r="G303" s="24"/>
      <c r="H303" s="24"/>
      <c r="I303" s="24"/>
      <c r="J303" s="24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24"/>
      <c r="D304" s="24"/>
      <c r="E304" s="24"/>
      <c r="F304" s="24"/>
      <c r="G304" s="24"/>
      <c r="H304" s="24"/>
      <c r="I304" s="24"/>
      <c r="J304" s="24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24"/>
      <c r="D305" s="24"/>
      <c r="E305" s="24"/>
      <c r="F305" s="24"/>
      <c r="G305" s="24"/>
      <c r="H305" s="24"/>
      <c r="I305" s="24"/>
      <c r="J305" s="24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24"/>
      <c r="D306" s="24"/>
      <c r="E306" s="24"/>
      <c r="F306" s="24"/>
      <c r="G306" s="24"/>
      <c r="H306" s="24"/>
      <c r="I306" s="24"/>
      <c r="J306" s="24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24"/>
      <c r="D307" s="24"/>
      <c r="E307" s="24"/>
      <c r="F307" s="24"/>
      <c r="G307" s="24"/>
      <c r="H307" s="24"/>
      <c r="I307" s="24"/>
      <c r="J307" s="24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24"/>
      <c r="D308" s="24"/>
      <c r="E308" s="24"/>
      <c r="F308" s="24"/>
      <c r="G308" s="24"/>
      <c r="H308" s="24"/>
      <c r="I308" s="24"/>
      <c r="J308" s="24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24"/>
      <c r="D309" s="24"/>
      <c r="E309" s="24"/>
      <c r="F309" s="24"/>
      <c r="G309" s="24"/>
      <c r="H309" s="24"/>
      <c r="I309" s="24"/>
      <c r="J309" s="24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24"/>
      <c r="D310" s="24"/>
      <c r="E310" s="24"/>
      <c r="F310" s="24"/>
      <c r="G310" s="24"/>
      <c r="H310" s="24"/>
      <c r="I310" s="24"/>
      <c r="J310" s="24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24"/>
      <c r="D311" s="24"/>
      <c r="E311" s="24"/>
      <c r="F311" s="24"/>
      <c r="G311" s="24"/>
      <c r="H311" s="24"/>
      <c r="I311" s="24"/>
      <c r="J311" s="24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24"/>
      <c r="D312" s="24"/>
      <c r="E312" s="24"/>
      <c r="F312" s="24"/>
      <c r="G312" s="24"/>
      <c r="H312" s="24"/>
      <c r="I312" s="24"/>
      <c r="J312" s="24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24"/>
      <c r="D313" s="24"/>
      <c r="E313" s="24"/>
      <c r="F313" s="24"/>
      <c r="G313" s="24"/>
      <c r="H313" s="24"/>
      <c r="I313" s="24"/>
      <c r="J313" s="24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24"/>
      <c r="D314" s="24"/>
      <c r="E314" s="24"/>
      <c r="F314" s="24"/>
      <c r="G314" s="24"/>
      <c r="H314" s="24"/>
      <c r="I314" s="24"/>
      <c r="J314" s="24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24"/>
      <c r="D315" s="24"/>
      <c r="E315" s="24"/>
      <c r="F315" s="24"/>
      <c r="G315" s="24"/>
      <c r="H315" s="24"/>
      <c r="I315" s="24"/>
      <c r="J315" s="24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24"/>
      <c r="D316" s="24"/>
      <c r="E316" s="24"/>
      <c r="F316" s="24"/>
      <c r="G316" s="24"/>
      <c r="H316" s="24"/>
      <c r="I316" s="24"/>
      <c r="J316" s="24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24"/>
      <c r="D317" s="24"/>
      <c r="E317" s="24"/>
      <c r="F317" s="24"/>
      <c r="G317" s="24"/>
      <c r="H317" s="24"/>
      <c r="I317" s="24"/>
      <c r="J317" s="24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24"/>
      <c r="D318" s="24"/>
      <c r="E318" s="24"/>
      <c r="F318" s="24"/>
      <c r="G318" s="24"/>
      <c r="H318" s="24"/>
      <c r="I318" s="24"/>
      <c r="J318" s="24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24"/>
      <c r="D319" s="24"/>
      <c r="E319" s="24"/>
      <c r="F319" s="24"/>
      <c r="G319" s="24"/>
      <c r="H319" s="24"/>
      <c r="I319" s="24"/>
      <c r="J319" s="24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24"/>
      <c r="D320" s="24"/>
      <c r="E320" s="24"/>
      <c r="F320" s="24"/>
      <c r="G320" s="24"/>
      <c r="H320" s="24"/>
      <c r="I320" s="24"/>
      <c r="J320" s="24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24"/>
      <c r="D321" s="24"/>
      <c r="E321" s="24"/>
      <c r="F321" s="24"/>
      <c r="G321" s="24"/>
      <c r="H321" s="24"/>
      <c r="I321" s="24"/>
      <c r="J321" s="24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24"/>
      <c r="D322" s="24"/>
      <c r="E322" s="24"/>
      <c r="F322" s="24"/>
      <c r="G322" s="24"/>
      <c r="H322" s="24"/>
      <c r="I322" s="24"/>
      <c r="J322" s="24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24"/>
      <c r="D323" s="24"/>
      <c r="E323" s="24"/>
      <c r="F323" s="24"/>
      <c r="G323" s="24"/>
      <c r="H323" s="24"/>
      <c r="I323" s="24"/>
      <c r="J323" s="24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24"/>
      <c r="D324" s="24"/>
      <c r="E324" s="24"/>
      <c r="F324" s="24"/>
      <c r="G324" s="24"/>
      <c r="H324" s="24"/>
      <c r="I324" s="24"/>
      <c r="J324" s="24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24"/>
      <c r="D325" s="24"/>
      <c r="E325" s="24"/>
      <c r="F325" s="24"/>
      <c r="G325" s="24"/>
      <c r="H325" s="24"/>
      <c r="I325" s="24"/>
      <c r="J325" s="24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24"/>
      <c r="D326" s="24"/>
      <c r="E326" s="24"/>
      <c r="F326" s="24"/>
      <c r="G326" s="24"/>
      <c r="H326" s="24"/>
      <c r="I326" s="24"/>
      <c r="J326" s="24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24"/>
      <c r="D327" s="24"/>
      <c r="E327" s="24"/>
      <c r="F327" s="24"/>
      <c r="G327" s="24"/>
      <c r="H327" s="24"/>
      <c r="I327" s="24"/>
      <c r="J327" s="24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24"/>
      <c r="D328" s="24"/>
      <c r="E328" s="24"/>
      <c r="F328" s="24"/>
      <c r="G328" s="24"/>
      <c r="H328" s="24"/>
      <c r="I328" s="24"/>
      <c r="J328" s="24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24"/>
      <c r="D329" s="24"/>
      <c r="E329" s="24"/>
      <c r="F329" s="24"/>
      <c r="G329" s="24"/>
      <c r="H329" s="24"/>
      <c r="I329" s="24"/>
      <c r="J329" s="24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24"/>
      <c r="D330" s="24"/>
      <c r="E330" s="24"/>
      <c r="F330" s="24"/>
      <c r="G330" s="24"/>
      <c r="H330" s="24"/>
      <c r="I330" s="24"/>
      <c r="J330" s="24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24"/>
      <c r="D331" s="24"/>
      <c r="E331" s="24"/>
      <c r="F331" s="24"/>
      <c r="G331" s="24"/>
      <c r="H331" s="24"/>
      <c r="I331" s="24"/>
      <c r="J331" s="24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24"/>
      <c r="D332" s="24"/>
      <c r="E332" s="24"/>
      <c r="F332" s="24"/>
      <c r="G332" s="24"/>
      <c r="H332" s="24"/>
      <c r="I332" s="24"/>
      <c r="J332" s="24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24"/>
      <c r="D333" s="24"/>
      <c r="E333" s="24"/>
      <c r="F333" s="24"/>
      <c r="G333" s="24"/>
      <c r="H333" s="24"/>
      <c r="I333" s="24"/>
      <c r="J333" s="24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24"/>
      <c r="D334" s="24"/>
      <c r="E334" s="24"/>
      <c r="F334" s="24"/>
      <c r="G334" s="24"/>
      <c r="H334" s="24"/>
      <c r="I334" s="24"/>
      <c r="J334" s="24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24"/>
      <c r="D335" s="24"/>
      <c r="E335" s="24"/>
      <c r="F335" s="24"/>
      <c r="G335" s="24"/>
      <c r="H335" s="24"/>
      <c r="I335" s="24"/>
      <c r="J335" s="24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24"/>
      <c r="D336" s="24"/>
      <c r="E336" s="24"/>
      <c r="F336" s="24"/>
      <c r="G336" s="24"/>
      <c r="H336" s="24"/>
      <c r="I336" s="24"/>
      <c r="J336" s="24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24"/>
      <c r="D337" s="24"/>
      <c r="E337" s="24"/>
      <c r="F337" s="24"/>
      <c r="G337" s="24"/>
      <c r="H337" s="24"/>
      <c r="I337" s="24"/>
      <c r="J337" s="24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24"/>
      <c r="D338" s="24"/>
      <c r="E338" s="24"/>
      <c r="F338" s="24"/>
      <c r="G338" s="24"/>
      <c r="H338" s="24"/>
      <c r="I338" s="24"/>
      <c r="J338" s="24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24"/>
      <c r="D339" s="24"/>
      <c r="E339" s="24"/>
      <c r="F339" s="24"/>
      <c r="G339" s="24"/>
      <c r="H339" s="24"/>
      <c r="I339" s="24"/>
      <c r="J339" s="24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24"/>
      <c r="D340" s="24"/>
      <c r="E340" s="24"/>
      <c r="F340" s="24"/>
      <c r="G340" s="24"/>
      <c r="H340" s="24"/>
      <c r="I340" s="24"/>
      <c r="J340" s="24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24"/>
      <c r="D341" s="24"/>
      <c r="E341" s="24"/>
      <c r="F341" s="24"/>
      <c r="G341" s="24"/>
      <c r="H341" s="24"/>
      <c r="I341" s="24"/>
      <c r="J341" s="24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24"/>
      <c r="D342" s="24"/>
      <c r="E342" s="24"/>
      <c r="F342" s="24"/>
      <c r="G342" s="24"/>
      <c r="H342" s="24"/>
      <c r="I342" s="24"/>
      <c r="J342" s="24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24"/>
      <c r="D343" s="24"/>
      <c r="E343" s="24"/>
      <c r="F343" s="24"/>
      <c r="G343" s="24"/>
      <c r="H343" s="24"/>
      <c r="I343" s="24"/>
      <c r="J343" s="24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24"/>
      <c r="D344" s="24"/>
      <c r="E344" s="24"/>
      <c r="F344" s="24"/>
      <c r="G344" s="24"/>
      <c r="H344" s="24"/>
      <c r="I344" s="24"/>
      <c r="J344" s="24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24"/>
      <c r="D345" s="24"/>
      <c r="E345" s="24"/>
      <c r="F345" s="24"/>
      <c r="G345" s="24"/>
      <c r="H345" s="24"/>
      <c r="I345" s="24"/>
      <c r="J345" s="24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24"/>
      <c r="D346" s="24"/>
      <c r="E346" s="24"/>
      <c r="F346" s="24"/>
      <c r="G346" s="24"/>
      <c r="H346" s="24"/>
      <c r="I346" s="24"/>
      <c r="J346" s="24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24"/>
      <c r="D347" s="24"/>
      <c r="E347" s="24"/>
      <c r="F347" s="24"/>
      <c r="G347" s="24"/>
      <c r="H347" s="24"/>
      <c r="I347" s="24"/>
      <c r="J347" s="24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24"/>
      <c r="D348" s="24"/>
      <c r="E348" s="24"/>
      <c r="F348" s="24"/>
      <c r="G348" s="24"/>
      <c r="H348" s="24"/>
      <c r="I348" s="24"/>
      <c r="J348" s="24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24"/>
      <c r="D349" s="24"/>
      <c r="E349" s="24"/>
      <c r="F349" s="24"/>
      <c r="G349" s="24"/>
      <c r="H349" s="24"/>
      <c r="I349" s="24"/>
      <c r="J349" s="24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24"/>
      <c r="D350" s="24"/>
      <c r="E350" s="24"/>
      <c r="F350" s="24"/>
      <c r="G350" s="24"/>
      <c r="H350" s="24"/>
      <c r="I350" s="24"/>
      <c r="J350" s="24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24"/>
      <c r="D351" s="24"/>
      <c r="E351" s="24"/>
      <c r="F351" s="24"/>
      <c r="G351" s="24"/>
      <c r="H351" s="24"/>
      <c r="I351" s="24"/>
      <c r="J351" s="24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24"/>
      <c r="D352" s="24"/>
      <c r="E352" s="24"/>
      <c r="F352" s="24"/>
      <c r="G352" s="24"/>
      <c r="H352" s="24"/>
      <c r="I352" s="24"/>
      <c r="J352" s="24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24"/>
      <c r="D353" s="24"/>
      <c r="E353" s="24"/>
      <c r="F353" s="24"/>
      <c r="G353" s="24"/>
      <c r="H353" s="24"/>
      <c r="I353" s="24"/>
      <c r="J353" s="24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24"/>
      <c r="D354" s="24"/>
      <c r="E354" s="24"/>
      <c r="F354" s="24"/>
      <c r="G354" s="24"/>
      <c r="H354" s="24"/>
      <c r="I354" s="24"/>
      <c r="J354" s="24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24"/>
      <c r="D355" s="24"/>
      <c r="E355" s="24"/>
      <c r="F355" s="24"/>
      <c r="G355" s="24"/>
      <c r="H355" s="24"/>
      <c r="I355" s="24"/>
      <c r="J355" s="24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24"/>
      <c r="D356" s="24"/>
      <c r="E356" s="24"/>
      <c r="F356" s="24"/>
      <c r="G356" s="24"/>
      <c r="H356" s="24"/>
      <c r="I356" s="24"/>
      <c r="J356" s="24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24"/>
      <c r="D357" s="24"/>
      <c r="E357" s="24"/>
      <c r="F357" s="24"/>
      <c r="G357" s="24"/>
      <c r="H357" s="24"/>
      <c r="I357" s="24"/>
      <c r="J357" s="24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24"/>
      <c r="D358" s="24"/>
      <c r="E358" s="24"/>
      <c r="F358" s="24"/>
      <c r="G358" s="24"/>
      <c r="H358" s="24"/>
      <c r="I358" s="24"/>
      <c r="J358" s="24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24"/>
      <c r="D359" s="24"/>
      <c r="E359" s="24"/>
      <c r="F359" s="24"/>
      <c r="G359" s="24"/>
      <c r="H359" s="24"/>
      <c r="I359" s="24"/>
      <c r="J359" s="24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24"/>
      <c r="D360" s="24"/>
      <c r="E360" s="24"/>
      <c r="F360" s="24"/>
      <c r="G360" s="24"/>
      <c r="H360" s="24"/>
      <c r="I360" s="24"/>
      <c r="J360" s="24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24"/>
      <c r="D361" s="24"/>
      <c r="E361" s="24"/>
      <c r="F361" s="24"/>
      <c r="G361" s="24"/>
      <c r="H361" s="24"/>
      <c r="I361" s="24"/>
      <c r="J361" s="24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24"/>
      <c r="D362" s="24"/>
      <c r="E362" s="24"/>
      <c r="F362" s="24"/>
      <c r="G362" s="24"/>
      <c r="H362" s="24"/>
      <c r="I362" s="24"/>
      <c r="J362" s="24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24"/>
      <c r="D363" s="24"/>
      <c r="E363" s="24"/>
      <c r="F363" s="24"/>
      <c r="G363" s="24"/>
      <c r="H363" s="24"/>
      <c r="I363" s="24"/>
      <c r="J363" s="24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24"/>
      <c r="D364" s="24"/>
      <c r="E364" s="24"/>
      <c r="F364" s="24"/>
      <c r="G364" s="24"/>
      <c r="H364" s="24"/>
      <c r="I364" s="24"/>
      <c r="J364" s="24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24"/>
      <c r="D365" s="24"/>
      <c r="E365" s="24"/>
      <c r="F365" s="24"/>
      <c r="G365" s="24"/>
      <c r="H365" s="24"/>
      <c r="I365" s="24"/>
      <c r="J365" s="24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24"/>
      <c r="D366" s="24"/>
      <c r="E366" s="24"/>
      <c r="F366" s="24"/>
      <c r="G366" s="24"/>
      <c r="H366" s="24"/>
      <c r="I366" s="24"/>
      <c r="J366" s="24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24"/>
      <c r="D367" s="24"/>
      <c r="E367" s="24"/>
      <c r="F367" s="24"/>
      <c r="G367" s="24"/>
      <c r="H367" s="24"/>
      <c r="I367" s="24"/>
      <c r="J367" s="24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24"/>
      <c r="D368" s="24"/>
      <c r="E368" s="24"/>
      <c r="F368" s="24"/>
      <c r="G368" s="24"/>
      <c r="H368" s="24"/>
      <c r="I368" s="24"/>
      <c r="J368" s="24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24"/>
      <c r="D369" s="24"/>
      <c r="E369" s="24"/>
      <c r="F369" s="24"/>
      <c r="G369" s="24"/>
      <c r="H369" s="24"/>
      <c r="I369" s="24"/>
      <c r="J369" s="24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24"/>
      <c r="D370" s="24"/>
      <c r="E370" s="24"/>
      <c r="F370" s="24"/>
      <c r="G370" s="24"/>
      <c r="H370" s="24"/>
      <c r="I370" s="24"/>
      <c r="J370" s="24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24"/>
      <c r="D371" s="24"/>
      <c r="E371" s="24"/>
      <c r="F371" s="24"/>
      <c r="G371" s="24"/>
      <c r="H371" s="24"/>
      <c r="I371" s="24"/>
      <c r="J371" s="24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24"/>
      <c r="D372" s="24"/>
      <c r="E372" s="24"/>
      <c r="F372" s="24"/>
      <c r="G372" s="24"/>
      <c r="H372" s="24"/>
      <c r="I372" s="24"/>
      <c r="J372" s="24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24"/>
      <c r="D373" s="24"/>
      <c r="E373" s="24"/>
      <c r="F373" s="24"/>
      <c r="G373" s="24"/>
      <c r="H373" s="24"/>
      <c r="I373" s="24"/>
      <c r="J373" s="24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24"/>
      <c r="D374" s="24"/>
      <c r="E374" s="24"/>
      <c r="F374" s="24"/>
      <c r="G374" s="24"/>
      <c r="H374" s="24"/>
      <c r="I374" s="24"/>
      <c r="J374" s="24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24"/>
      <c r="D375" s="24"/>
      <c r="E375" s="24"/>
      <c r="F375" s="24"/>
      <c r="G375" s="24"/>
      <c r="H375" s="24"/>
      <c r="I375" s="24"/>
      <c r="J375" s="24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24"/>
      <c r="D376" s="24"/>
      <c r="E376" s="24"/>
      <c r="F376" s="24"/>
      <c r="G376" s="24"/>
      <c r="H376" s="24"/>
      <c r="I376" s="24"/>
      <c r="J376" s="24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24"/>
      <c r="D377" s="24"/>
      <c r="E377" s="24"/>
      <c r="F377" s="24"/>
      <c r="G377" s="24"/>
      <c r="H377" s="24"/>
      <c r="I377" s="24"/>
      <c r="J377" s="24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24"/>
      <c r="D378" s="24"/>
      <c r="E378" s="24"/>
      <c r="F378" s="24"/>
      <c r="G378" s="24"/>
      <c r="H378" s="24"/>
      <c r="I378" s="24"/>
      <c r="J378" s="24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24"/>
      <c r="D379" s="24"/>
      <c r="E379" s="24"/>
      <c r="F379" s="24"/>
      <c r="G379" s="24"/>
      <c r="H379" s="24"/>
      <c r="I379" s="24"/>
      <c r="J379" s="24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24"/>
      <c r="D380" s="24"/>
      <c r="E380" s="24"/>
      <c r="F380" s="24"/>
      <c r="G380" s="24"/>
      <c r="H380" s="24"/>
      <c r="I380" s="24"/>
      <c r="J380" s="24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24"/>
      <c r="D381" s="24"/>
      <c r="E381" s="24"/>
      <c r="F381" s="24"/>
      <c r="G381" s="24"/>
      <c r="H381" s="24"/>
      <c r="I381" s="24"/>
      <c r="J381" s="24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24"/>
      <c r="D382" s="24"/>
      <c r="E382" s="24"/>
      <c r="F382" s="24"/>
      <c r="G382" s="24"/>
      <c r="H382" s="24"/>
      <c r="I382" s="24"/>
      <c r="J382" s="24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24"/>
      <c r="D383" s="24"/>
      <c r="E383" s="24"/>
      <c r="F383" s="24"/>
      <c r="G383" s="24"/>
      <c r="H383" s="24"/>
      <c r="I383" s="24"/>
      <c r="J383" s="24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24"/>
      <c r="D384" s="24"/>
      <c r="E384" s="24"/>
      <c r="F384" s="24"/>
      <c r="G384" s="24"/>
      <c r="H384" s="24"/>
      <c r="I384" s="24"/>
      <c r="J384" s="24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24"/>
      <c r="D385" s="24"/>
      <c r="E385" s="24"/>
      <c r="F385" s="24"/>
      <c r="G385" s="24"/>
      <c r="H385" s="24"/>
      <c r="I385" s="24"/>
      <c r="J385" s="24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24"/>
      <c r="D386" s="24"/>
      <c r="E386" s="24"/>
      <c r="F386" s="24"/>
      <c r="G386" s="24"/>
      <c r="H386" s="24"/>
      <c r="I386" s="24"/>
      <c r="J386" s="24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24"/>
      <c r="D387" s="24"/>
      <c r="E387" s="24"/>
      <c r="F387" s="24"/>
      <c r="G387" s="24"/>
      <c r="H387" s="24"/>
      <c r="I387" s="24"/>
      <c r="J387" s="24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24"/>
      <c r="D388" s="24"/>
      <c r="E388" s="24"/>
      <c r="F388" s="24"/>
      <c r="G388" s="24"/>
      <c r="H388" s="24"/>
      <c r="I388" s="24"/>
      <c r="J388" s="24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24"/>
      <c r="D389" s="24"/>
      <c r="E389" s="24"/>
      <c r="F389" s="24"/>
      <c r="G389" s="24"/>
      <c r="H389" s="24"/>
      <c r="I389" s="24"/>
      <c r="J389" s="24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24"/>
      <c r="D390" s="24"/>
      <c r="E390" s="24"/>
      <c r="F390" s="24"/>
      <c r="G390" s="24"/>
      <c r="H390" s="24"/>
      <c r="I390" s="24"/>
      <c r="J390" s="24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24"/>
      <c r="D391" s="24"/>
      <c r="E391" s="24"/>
      <c r="F391" s="24"/>
      <c r="G391" s="24"/>
      <c r="H391" s="24"/>
      <c r="I391" s="24"/>
      <c r="J391" s="24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24"/>
      <c r="D392" s="24"/>
      <c r="E392" s="24"/>
      <c r="F392" s="24"/>
      <c r="G392" s="24"/>
      <c r="H392" s="24"/>
      <c r="I392" s="24"/>
      <c r="J392" s="24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24"/>
      <c r="D393" s="24"/>
      <c r="E393" s="24"/>
      <c r="F393" s="24"/>
      <c r="G393" s="24"/>
      <c r="H393" s="24"/>
      <c r="I393" s="24"/>
      <c r="J393" s="24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24"/>
      <c r="D394" s="24"/>
      <c r="E394" s="24"/>
      <c r="F394" s="24"/>
      <c r="G394" s="24"/>
      <c r="H394" s="24"/>
      <c r="I394" s="24"/>
      <c r="J394" s="24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24"/>
      <c r="D395" s="24"/>
      <c r="E395" s="24"/>
      <c r="F395" s="24"/>
      <c r="G395" s="24"/>
      <c r="H395" s="24"/>
      <c r="I395" s="24"/>
      <c r="J395" s="24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24"/>
      <c r="D396" s="24"/>
      <c r="E396" s="24"/>
      <c r="F396" s="24"/>
      <c r="G396" s="24"/>
      <c r="H396" s="24"/>
      <c r="I396" s="24"/>
      <c r="J396" s="24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24"/>
      <c r="D397" s="24"/>
      <c r="E397" s="24"/>
      <c r="F397" s="24"/>
      <c r="G397" s="24"/>
      <c r="H397" s="24"/>
      <c r="I397" s="24"/>
      <c r="J397" s="24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24"/>
      <c r="D398" s="24"/>
      <c r="E398" s="24"/>
      <c r="F398" s="24"/>
      <c r="G398" s="24"/>
      <c r="H398" s="24"/>
      <c r="I398" s="24"/>
      <c r="J398" s="24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24"/>
      <c r="D399" s="24"/>
      <c r="E399" s="24"/>
      <c r="F399" s="24"/>
      <c r="G399" s="24"/>
      <c r="H399" s="24"/>
      <c r="I399" s="24"/>
      <c r="J399" s="24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24"/>
      <c r="D400" s="24"/>
      <c r="E400" s="24"/>
      <c r="F400" s="24"/>
      <c r="G400" s="24"/>
      <c r="H400" s="24"/>
      <c r="I400" s="24"/>
      <c r="J400" s="24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24"/>
      <c r="D401" s="24"/>
      <c r="E401" s="24"/>
      <c r="F401" s="24"/>
      <c r="G401" s="24"/>
      <c r="H401" s="24"/>
      <c r="I401" s="24"/>
      <c r="J401" s="24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24"/>
      <c r="D402" s="24"/>
      <c r="E402" s="24"/>
      <c r="F402" s="24"/>
      <c r="G402" s="24"/>
      <c r="H402" s="24"/>
      <c r="I402" s="24"/>
      <c r="J402" s="24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24"/>
      <c r="D403" s="24"/>
      <c r="E403" s="24"/>
      <c r="F403" s="24"/>
      <c r="G403" s="24"/>
      <c r="H403" s="24"/>
      <c r="I403" s="24"/>
      <c r="J403" s="24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24"/>
      <c r="D404" s="24"/>
      <c r="E404" s="24"/>
      <c r="F404" s="24"/>
      <c r="G404" s="24"/>
      <c r="H404" s="24"/>
      <c r="I404" s="24"/>
      <c r="J404" s="24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24"/>
      <c r="D405" s="24"/>
      <c r="E405" s="24"/>
      <c r="F405" s="24"/>
      <c r="G405" s="24"/>
      <c r="H405" s="24"/>
      <c r="I405" s="24"/>
      <c r="J405" s="24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24"/>
      <c r="D406" s="24"/>
      <c r="E406" s="24"/>
      <c r="F406" s="24"/>
      <c r="G406" s="24"/>
      <c r="H406" s="24"/>
      <c r="I406" s="24"/>
      <c r="J406" s="24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24"/>
      <c r="D407" s="24"/>
      <c r="E407" s="24"/>
      <c r="F407" s="24"/>
      <c r="G407" s="24"/>
      <c r="H407" s="24"/>
      <c r="I407" s="24"/>
      <c r="J407" s="24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24"/>
      <c r="D408" s="24"/>
      <c r="E408" s="24"/>
      <c r="F408" s="24"/>
      <c r="G408" s="24"/>
      <c r="H408" s="24"/>
      <c r="I408" s="24"/>
      <c r="J408" s="24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24"/>
      <c r="D409" s="24"/>
      <c r="E409" s="24"/>
      <c r="F409" s="24"/>
      <c r="G409" s="24"/>
      <c r="H409" s="24"/>
      <c r="I409" s="24"/>
      <c r="J409" s="24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24"/>
      <c r="D410" s="24"/>
      <c r="E410" s="24"/>
      <c r="F410" s="24"/>
      <c r="G410" s="24"/>
      <c r="H410" s="24"/>
      <c r="I410" s="24"/>
      <c r="J410" s="24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24"/>
      <c r="D411" s="24"/>
      <c r="E411" s="24"/>
      <c r="F411" s="24"/>
      <c r="G411" s="24"/>
      <c r="H411" s="24"/>
      <c r="I411" s="24"/>
      <c r="J411" s="24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24"/>
      <c r="D412" s="24"/>
      <c r="E412" s="24"/>
      <c r="F412" s="24"/>
      <c r="G412" s="24"/>
      <c r="H412" s="24"/>
      <c r="I412" s="24"/>
      <c r="J412" s="24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24"/>
      <c r="D413" s="24"/>
      <c r="E413" s="24"/>
      <c r="F413" s="24"/>
      <c r="G413" s="24"/>
      <c r="H413" s="24"/>
      <c r="I413" s="24"/>
      <c r="J413" s="24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24"/>
      <c r="D414" s="24"/>
      <c r="E414" s="24"/>
      <c r="F414" s="24"/>
      <c r="G414" s="24"/>
      <c r="H414" s="24"/>
      <c r="I414" s="24"/>
      <c r="J414" s="24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24"/>
      <c r="D415" s="24"/>
      <c r="E415" s="24"/>
      <c r="F415" s="24"/>
      <c r="G415" s="24"/>
      <c r="H415" s="24"/>
      <c r="I415" s="24"/>
      <c r="J415" s="24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24"/>
      <c r="D416" s="24"/>
      <c r="E416" s="24"/>
      <c r="F416" s="24"/>
      <c r="G416" s="24"/>
      <c r="H416" s="24"/>
      <c r="I416" s="24"/>
      <c r="J416" s="24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24"/>
      <c r="D417" s="24"/>
      <c r="E417" s="24"/>
      <c r="F417" s="24"/>
      <c r="G417" s="24"/>
      <c r="H417" s="24"/>
      <c r="I417" s="24"/>
      <c r="J417" s="24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24"/>
      <c r="D418" s="24"/>
      <c r="E418" s="24"/>
      <c r="F418" s="24"/>
      <c r="G418" s="24"/>
      <c r="H418" s="24"/>
      <c r="I418" s="24"/>
      <c r="J418" s="24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24"/>
      <c r="D419" s="24"/>
      <c r="E419" s="24"/>
      <c r="F419" s="24"/>
      <c r="G419" s="24"/>
      <c r="H419" s="24"/>
      <c r="I419" s="24"/>
      <c r="J419" s="24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24"/>
      <c r="D420" s="24"/>
      <c r="E420" s="24"/>
      <c r="F420" s="24"/>
      <c r="G420" s="24"/>
      <c r="H420" s="24"/>
      <c r="I420" s="24"/>
      <c r="J420" s="24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24"/>
      <c r="D421" s="24"/>
      <c r="E421" s="24"/>
      <c r="F421" s="24"/>
      <c r="G421" s="24"/>
      <c r="H421" s="24"/>
      <c r="I421" s="24"/>
      <c r="J421" s="24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24"/>
      <c r="D422" s="24"/>
      <c r="E422" s="24"/>
      <c r="F422" s="24"/>
      <c r="G422" s="24"/>
      <c r="H422" s="24"/>
      <c r="I422" s="24"/>
      <c r="J422" s="24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24"/>
      <c r="D423" s="24"/>
      <c r="E423" s="24"/>
      <c r="F423" s="24"/>
      <c r="G423" s="24"/>
      <c r="H423" s="24"/>
      <c r="I423" s="24"/>
      <c r="J423" s="24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24"/>
      <c r="D424" s="24"/>
      <c r="E424" s="24"/>
      <c r="F424" s="24"/>
      <c r="G424" s="24"/>
      <c r="H424" s="24"/>
      <c r="I424" s="24"/>
      <c r="J424" s="24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24"/>
      <c r="D425" s="24"/>
      <c r="E425" s="24"/>
      <c r="F425" s="24"/>
      <c r="G425" s="24"/>
      <c r="H425" s="24"/>
      <c r="I425" s="24"/>
      <c r="J425" s="24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24"/>
      <c r="D426" s="24"/>
      <c r="E426" s="24"/>
      <c r="F426" s="24"/>
      <c r="G426" s="24"/>
      <c r="H426" s="24"/>
      <c r="I426" s="24"/>
      <c r="J426" s="24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24"/>
      <c r="D427" s="24"/>
      <c r="E427" s="24"/>
      <c r="F427" s="24"/>
      <c r="G427" s="24"/>
      <c r="H427" s="24"/>
      <c r="I427" s="24"/>
      <c r="J427" s="24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24"/>
      <c r="D428" s="24"/>
      <c r="E428" s="24"/>
      <c r="F428" s="24"/>
      <c r="G428" s="24"/>
      <c r="H428" s="24"/>
      <c r="I428" s="24"/>
      <c r="J428" s="24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24"/>
      <c r="D429" s="24"/>
      <c r="E429" s="24"/>
      <c r="F429" s="24"/>
      <c r="G429" s="24"/>
      <c r="H429" s="24"/>
      <c r="I429" s="24"/>
      <c r="J429" s="24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24"/>
      <c r="D430" s="24"/>
      <c r="E430" s="24"/>
      <c r="F430" s="24"/>
      <c r="G430" s="24"/>
      <c r="H430" s="24"/>
      <c r="I430" s="24"/>
      <c r="J430" s="24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24"/>
      <c r="D431" s="24"/>
      <c r="E431" s="24"/>
      <c r="F431" s="24"/>
      <c r="G431" s="24"/>
      <c r="H431" s="24"/>
      <c r="I431" s="24"/>
      <c r="J431" s="24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24"/>
      <c r="D432" s="24"/>
      <c r="E432" s="24"/>
      <c r="F432" s="24"/>
      <c r="G432" s="24"/>
      <c r="H432" s="24"/>
      <c r="I432" s="24"/>
      <c r="J432" s="24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24"/>
      <c r="D433" s="24"/>
      <c r="E433" s="24"/>
      <c r="F433" s="24"/>
      <c r="G433" s="24"/>
      <c r="H433" s="24"/>
      <c r="I433" s="24"/>
      <c r="J433" s="24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24"/>
      <c r="D434" s="24"/>
      <c r="E434" s="24"/>
      <c r="F434" s="24"/>
      <c r="G434" s="24"/>
      <c r="H434" s="24"/>
      <c r="I434" s="24"/>
      <c r="J434" s="24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24"/>
      <c r="D435" s="24"/>
      <c r="E435" s="24"/>
      <c r="F435" s="24"/>
      <c r="G435" s="24"/>
      <c r="H435" s="24"/>
      <c r="I435" s="24"/>
      <c r="J435" s="24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24"/>
      <c r="D436" s="24"/>
      <c r="E436" s="24"/>
      <c r="F436" s="24"/>
      <c r="G436" s="24"/>
      <c r="H436" s="24"/>
      <c r="I436" s="24"/>
      <c r="J436" s="24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24"/>
      <c r="D437" s="24"/>
      <c r="E437" s="24"/>
      <c r="F437" s="24"/>
      <c r="G437" s="24"/>
      <c r="H437" s="24"/>
      <c r="I437" s="24"/>
      <c r="J437" s="24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24"/>
      <c r="D438" s="24"/>
      <c r="E438" s="24"/>
      <c r="F438" s="24"/>
      <c r="G438" s="24"/>
      <c r="H438" s="24"/>
      <c r="I438" s="24"/>
      <c r="J438" s="24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24"/>
      <c r="D439" s="24"/>
      <c r="E439" s="24"/>
      <c r="F439" s="24"/>
      <c r="G439" s="24"/>
      <c r="H439" s="24"/>
      <c r="I439" s="24"/>
      <c r="J439" s="24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24"/>
      <c r="D440" s="24"/>
      <c r="E440" s="24"/>
      <c r="F440" s="24"/>
      <c r="G440" s="24"/>
      <c r="H440" s="24"/>
      <c r="I440" s="24"/>
      <c r="J440" s="24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24"/>
      <c r="D441" s="24"/>
      <c r="E441" s="24"/>
      <c r="F441" s="24"/>
      <c r="G441" s="24"/>
      <c r="H441" s="24"/>
      <c r="I441" s="24"/>
      <c r="J441" s="24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24"/>
      <c r="D442" s="24"/>
      <c r="E442" s="24"/>
      <c r="F442" s="24"/>
      <c r="G442" s="24"/>
      <c r="H442" s="24"/>
      <c r="I442" s="24"/>
      <c r="J442" s="24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24"/>
      <c r="D443" s="24"/>
      <c r="E443" s="24"/>
      <c r="F443" s="24"/>
      <c r="G443" s="24"/>
      <c r="H443" s="24"/>
      <c r="I443" s="24"/>
      <c r="J443" s="24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24"/>
      <c r="D444" s="24"/>
      <c r="E444" s="24"/>
      <c r="F444" s="24"/>
      <c r="G444" s="24"/>
      <c r="H444" s="24"/>
      <c r="I444" s="24"/>
      <c r="J444" s="24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24"/>
      <c r="D445" s="24"/>
      <c r="E445" s="24"/>
      <c r="F445" s="24"/>
      <c r="G445" s="24"/>
      <c r="H445" s="24"/>
      <c r="I445" s="24"/>
      <c r="J445" s="24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24"/>
      <c r="D446" s="24"/>
      <c r="E446" s="24"/>
      <c r="F446" s="24"/>
      <c r="G446" s="24"/>
      <c r="H446" s="24"/>
      <c r="I446" s="24"/>
      <c r="J446" s="24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24"/>
      <c r="D447" s="24"/>
      <c r="E447" s="24"/>
      <c r="F447" s="24"/>
      <c r="G447" s="24"/>
      <c r="H447" s="24"/>
      <c r="I447" s="24"/>
      <c r="J447" s="24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24"/>
      <c r="D448" s="24"/>
      <c r="E448" s="24"/>
      <c r="F448" s="24"/>
      <c r="G448" s="24"/>
      <c r="H448" s="24"/>
      <c r="I448" s="24"/>
      <c r="J448" s="24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24"/>
      <c r="D449" s="24"/>
      <c r="E449" s="24"/>
      <c r="F449" s="24"/>
      <c r="G449" s="24"/>
      <c r="H449" s="24"/>
      <c r="I449" s="24"/>
      <c r="J449" s="24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24"/>
      <c r="D450" s="24"/>
      <c r="E450" s="24"/>
      <c r="F450" s="24"/>
      <c r="G450" s="24"/>
      <c r="H450" s="24"/>
      <c r="I450" s="24"/>
      <c r="J450" s="24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24"/>
      <c r="D451" s="24"/>
      <c r="E451" s="24"/>
      <c r="F451" s="24"/>
      <c r="G451" s="24"/>
      <c r="H451" s="24"/>
      <c r="I451" s="24"/>
      <c r="J451" s="24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24"/>
      <c r="D452" s="24"/>
      <c r="E452" s="24"/>
      <c r="F452" s="24"/>
      <c r="G452" s="24"/>
      <c r="H452" s="24"/>
      <c r="I452" s="24"/>
      <c r="J452" s="24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24"/>
      <c r="D453" s="24"/>
      <c r="E453" s="24"/>
      <c r="F453" s="24"/>
      <c r="G453" s="24"/>
      <c r="H453" s="24"/>
      <c r="I453" s="24"/>
      <c r="J453" s="24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24"/>
      <c r="D454" s="24"/>
      <c r="E454" s="24"/>
      <c r="F454" s="24"/>
      <c r="G454" s="24"/>
      <c r="H454" s="24"/>
      <c r="I454" s="24"/>
      <c r="J454" s="24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24"/>
      <c r="D455" s="24"/>
      <c r="E455" s="24"/>
      <c r="F455" s="24"/>
      <c r="G455" s="24"/>
      <c r="H455" s="24"/>
      <c r="I455" s="24"/>
      <c r="J455" s="24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24"/>
      <c r="D456" s="24"/>
      <c r="E456" s="24"/>
      <c r="F456" s="24"/>
      <c r="G456" s="24"/>
      <c r="H456" s="24"/>
      <c r="I456" s="24"/>
      <c r="J456" s="24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24"/>
      <c r="D457" s="24"/>
      <c r="E457" s="24"/>
      <c r="F457" s="24"/>
      <c r="G457" s="24"/>
      <c r="H457" s="24"/>
      <c r="I457" s="24"/>
      <c r="J457" s="24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24"/>
      <c r="D458" s="24"/>
      <c r="E458" s="24"/>
      <c r="F458" s="24"/>
      <c r="G458" s="24"/>
      <c r="H458" s="24"/>
      <c r="I458" s="24"/>
      <c r="J458" s="24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24"/>
      <c r="D459" s="24"/>
      <c r="E459" s="24"/>
      <c r="F459" s="24"/>
      <c r="G459" s="24"/>
      <c r="H459" s="24"/>
      <c r="I459" s="24"/>
      <c r="J459" s="24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24"/>
      <c r="D460" s="24"/>
      <c r="E460" s="24"/>
      <c r="F460" s="24"/>
      <c r="G460" s="24"/>
      <c r="H460" s="24"/>
      <c r="I460" s="24"/>
      <c r="J460" s="24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24"/>
      <c r="D461" s="24"/>
      <c r="E461" s="24"/>
      <c r="F461" s="24"/>
      <c r="G461" s="24"/>
      <c r="H461" s="24"/>
      <c r="I461" s="24"/>
      <c r="J461" s="24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24"/>
      <c r="D462" s="24"/>
      <c r="E462" s="24"/>
      <c r="F462" s="24"/>
      <c r="G462" s="24"/>
      <c r="H462" s="24"/>
      <c r="I462" s="24"/>
      <c r="J462" s="24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24"/>
      <c r="D463" s="24"/>
      <c r="E463" s="24"/>
      <c r="F463" s="24"/>
      <c r="G463" s="24"/>
      <c r="H463" s="24"/>
      <c r="I463" s="24"/>
      <c r="J463" s="24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24"/>
      <c r="D464" s="24"/>
      <c r="E464" s="24"/>
      <c r="F464" s="24"/>
      <c r="G464" s="24"/>
      <c r="H464" s="24"/>
      <c r="I464" s="24"/>
      <c r="J464" s="24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24"/>
      <c r="D465" s="24"/>
      <c r="E465" s="24"/>
      <c r="F465" s="24"/>
      <c r="G465" s="24"/>
      <c r="H465" s="24"/>
      <c r="I465" s="24"/>
      <c r="J465" s="24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24"/>
      <c r="D466" s="24"/>
      <c r="E466" s="24"/>
      <c r="F466" s="24"/>
      <c r="G466" s="24"/>
      <c r="H466" s="24"/>
      <c r="I466" s="24"/>
      <c r="J466" s="24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24"/>
      <c r="D467" s="24"/>
      <c r="E467" s="24"/>
      <c r="F467" s="24"/>
      <c r="G467" s="24"/>
      <c r="H467" s="24"/>
      <c r="I467" s="24"/>
      <c r="J467" s="24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24"/>
      <c r="D468" s="24"/>
      <c r="E468" s="24"/>
      <c r="F468" s="24"/>
      <c r="G468" s="24"/>
      <c r="H468" s="24"/>
      <c r="I468" s="24"/>
      <c r="J468" s="24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24"/>
      <c r="D469" s="24"/>
      <c r="E469" s="24"/>
      <c r="F469" s="24"/>
      <c r="G469" s="24"/>
      <c r="H469" s="24"/>
      <c r="I469" s="24"/>
      <c r="J469" s="24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24"/>
      <c r="D470" s="24"/>
      <c r="E470" s="24"/>
      <c r="F470" s="24"/>
      <c r="G470" s="24"/>
      <c r="H470" s="24"/>
      <c r="I470" s="24"/>
      <c r="J470" s="24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24"/>
      <c r="D471" s="24"/>
      <c r="E471" s="24"/>
      <c r="F471" s="24"/>
      <c r="G471" s="24"/>
      <c r="H471" s="24"/>
      <c r="I471" s="24"/>
      <c r="J471" s="24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24"/>
      <c r="D472" s="24"/>
      <c r="E472" s="24"/>
      <c r="F472" s="24"/>
      <c r="G472" s="24"/>
      <c r="H472" s="24"/>
      <c r="I472" s="24"/>
      <c r="J472" s="24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24"/>
      <c r="D473" s="24"/>
      <c r="E473" s="24"/>
      <c r="F473" s="24"/>
      <c r="G473" s="24"/>
      <c r="H473" s="24"/>
      <c r="I473" s="24"/>
      <c r="J473" s="24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24"/>
      <c r="D474" s="24"/>
      <c r="E474" s="24"/>
      <c r="F474" s="24"/>
      <c r="G474" s="24"/>
      <c r="H474" s="24"/>
      <c r="I474" s="24"/>
      <c r="J474" s="24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24"/>
      <c r="D475" s="24"/>
      <c r="E475" s="24"/>
      <c r="F475" s="24"/>
      <c r="G475" s="24"/>
      <c r="H475" s="24"/>
      <c r="I475" s="24"/>
      <c r="J475" s="24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24"/>
      <c r="D476" s="24"/>
      <c r="E476" s="24"/>
      <c r="F476" s="24"/>
      <c r="G476" s="24"/>
      <c r="H476" s="24"/>
      <c r="I476" s="24"/>
      <c r="J476" s="24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24"/>
      <c r="D477" s="24"/>
      <c r="E477" s="24"/>
      <c r="F477" s="24"/>
      <c r="G477" s="24"/>
      <c r="H477" s="24"/>
      <c r="I477" s="24"/>
      <c r="J477" s="24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24"/>
      <c r="D478" s="24"/>
      <c r="E478" s="24"/>
      <c r="F478" s="24"/>
      <c r="G478" s="24"/>
      <c r="H478" s="24"/>
      <c r="I478" s="24"/>
      <c r="J478" s="24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24"/>
      <c r="D479" s="24"/>
      <c r="E479" s="24"/>
      <c r="F479" s="24"/>
      <c r="G479" s="24"/>
      <c r="H479" s="24"/>
      <c r="I479" s="24"/>
      <c r="J479" s="24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24"/>
      <c r="D480" s="24"/>
      <c r="E480" s="24"/>
      <c r="F480" s="24"/>
      <c r="G480" s="24"/>
      <c r="H480" s="24"/>
      <c r="I480" s="24"/>
      <c r="J480" s="24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24"/>
      <c r="D481" s="24"/>
      <c r="E481" s="24"/>
      <c r="F481" s="24"/>
      <c r="G481" s="24"/>
      <c r="H481" s="24"/>
      <c r="I481" s="24"/>
      <c r="J481" s="24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24"/>
      <c r="D482" s="24"/>
      <c r="E482" s="24"/>
      <c r="F482" s="24"/>
      <c r="G482" s="24"/>
      <c r="H482" s="24"/>
      <c r="I482" s="24"/>
      <c r="J482" s="24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24"/>
      <c r="D483" s="24"/>
      <c r="E483" s="24"/>
      <c r="F483" s="24"/>
      <c r="G483" s="24"/>
      <c r="H483" s="24"/>
      <c r="I483" s="24"/>
      <c r="J483" s="24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24"/>
      <c r="D484" s="24"/>
      <c r="E484" s="24"/>
      <c r="F484" s="24"/>
      <c r="G484" s="24"/>
      <c r="H484" s="24"/>
      <c r="I484" s="24"/>
      <c r="J484" s="24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24"/>
      <c r="D485" s="24"/>
      <c r="E485" s="24"/>
      <c r="F485" s="24"/>
      <c r="G485" s="24"/>
      <c r="H485" s="24"/>
      <c r="I485" s="24"/>
      <c r="J485" s="24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24"/>
      <c r="D486" s="24"/>
      <c r="E486" s="24"/>
      <c r="F486" s="24"/>
      <c r="G486" s="24"/>
      <c r="H486" s="24"/>
      <c r="I486" s="24"/>
      <c r="J486" s="24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24"/>
      <c r="D487" s="24"/>
      <c r="E487" s="24"/>
      <c r="F487" s="24"/>
      <c r="G487" s="24"/>
      <c r="H487" s="24"/>
      <c r="I487" s="24"/>
      <c r="J487" s="24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24"/>
      <c r="D488" s="24"/>
      <c r="E488" s="24"/>
      <c r="F488" s="24"/>
      <c r="G488" s="24"/>
      <c r="H488" s="24"/>
      <c r="I488" s="24"/>
      <c r="J488" s="24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24"/>
      <c r="D489" s="24"/>
      <c r="E489" s="24"/>
      <c r="F489" s="24"/>
      <c r="G489" s="24"/>
      <c r="H489" s="24"/>
      <c r="I489" s="24"/>
      <c r="J489" s="24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24"/>
      <c r="D490" s="24"/>
      <c r="E490" s="24"/>
      <c r="F490" s="24"/>
      <c r="G490" s="24"/>
      <c r="H490" s="24"/>
      <c r="I490" s="24"/>
      <c r="J490" s="24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24"/>
      <c r="D491" s="24"/>
      <c r="E491" s="24"/>
      <c r="F491" s="24"/>
      <c r="G491" s="24"/>
      <c r="H491" s="24"/>
      <c r="I491" s="24"/>
      <c r="J491" s="24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24"/>
      <c r="D492" s="24"/>
      <c r="E492" s="24"/>
      <c r="F492" s="24"/>
      <c r="G492" s="24"/>
      <c r="H492" s="24"/>
      <c r="I492" s="24"/>
      <c r="J492" s="24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24"/>
      <c r="D493" s="24"/>
      <c r="E493" s="24"/>
      <c r="F493" s="24"/>
      <c r="G493" s="24"/>
      <c r="H493" s="24"/>
      <c r="I493" s="24"/>
      <c r="J493" s="24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24"/>
      <c r="D494" s="24"/>
      <c r="E494" s="24"/>
      <c r="F494" s="24"/>
      <c r="G494" s="24"/>
      <c r="H494" s="24"/>
      <c r="I494" s="24"/>
      <c r="J494" s="24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24"/>
      <c r="D495" s="24"/>
      <c r="E495" s="24"/>
      <c r="F495" s="24"/>
      <c r="G495" s="24"/>
      <c r="H495" s="24"/>
      <c r="I495" s="24"/>
      <c r="J495" s="24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24"/>
      <c r="D496" s="24"/>
      <c r="E496" s="24"/>
      <c r="F496" s="24"/>
      <c r="G496" s="24"/>
      <c r="H496" s="24"/>
      <c r="I496" s="24"/>
      <c r="J496" s="24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24"/>
      <c r="D497" s="24"/>
      <c r="E497" s="24"/>
      <c r="F497" s="24"/>
      <c r="G497" s="24"/>
      <c r="H497" s="24"/>
      <c r="I497" s="24"/>
      <c r="J497" s="24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24"/>
      <c r="D498" s="24"/>
      <c r="E498" s="24"/>
      <c r="F498" s="24"/>
      <c r="G498" s="24"/>
      <c r="H498" s="24"/>
      <c r="I498" s="24"/>
      <c r="J498" s="24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24"/>
      <c r="D499" s="24"/>
      <c r="E499" s="24"/>
      <c r="F499" s="24"/>
      <c r="G499" s="24"/>
      <c r="H499" s="24"/>
      <c r="I499" s="24"/>
      <c r="J499" s="24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24"/>
      <c r="D500" s="24"/>
      <c r="E500" s="24"/>
      <c r="F500" s="24"/>
      <c r="G500" s="24"/>
      <c r="H500" s="24"/>
      <c r="I500" s="24"/>
      <c r="J500" s="24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24"/>
      <c r="D501" s="24"/>
      <c r="E501" s="24"/>
      <c r="F501" s="24"/>
      <c r="G501" s="24"/>
      <c r="H501" s="24"/>
      <c r="I501" s="24"/>
      <c r="J501" s="24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24"/>
      <c r="D502" s="24"/>
      <c r="E502" s="24"/>
      <c r="F502" s="24"/>
      <c r="G502" s="24"/>
      <c r="H502" s="24"/>
      <c r="I502" s="24"/>
      <c r="J502" s="24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24"/>
      <c r="D503" s="24"/>
      <c r="E503" s="24"/>
      <c r="F503" s="24"/>
      <c r="G503" s="24"/>
      <c r="H503" s="24"/>
      <c r="I503" s="24"/>
      <c r="J503" s="24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24"/>
      <c r="D504" s="24"/>
      <c r="E504" s="24"/>
      <c r="F504" s="24"/>
      <c r="G504" s="24"/>
      <c r="H504" s="24"/>
      <c r="I504" s="24"/>
      <c r="J504" s="24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24"/>
      <c r="D505" s="24"/>
      <c r="E505" s="24"/>
      <c r="F505" s="24"/>
      <c r="G505" s="24"/>
      <c r="H505" s="24"/>
      <c r="I505" s="24"/>
      <c r="J505" s="24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24"/>
      <c r="D506" s="24"/>
      <c r="E506" s="24"/>
      <c r="F506" s="24"/>
      <c r="G506" s="24"/>
      <c r="H506" s="24"/>
      <c r="I506" s="24"/>
      <c r="J506" s="24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24"/>
      <c r="D507" s="24"/>
      <c r="E507" s="24"/>
      <c r="F507" s="24"/>
      <c r="G507" s="24"/>
      <c r="H507" s="24"/>
      <c r="I507" s="24"/>
      <c r="J507" s="24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24"/>
      <c r="D508" s="24"/>
      <c r="E508" s="24"/>
      <c r="F508" s="24"/>
      <c r="G508" s="24"/>
      <c r="H508" s="24"/>
      <c r="I508" s="24"/>
      <c r="J508" s="24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24"/>
      <c r="D509" s="24"/>
      <c r="E509" s="24"/>
      <c r="F509" s="24"/>
      <c r="G509" s="24"/>
      <c r="H509" s="24"/>
      <c r="I509" s="24"/>
      <c r="J509" s="24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24"/>
      <c r="D510" s="24"/>
      <c r="E510" s="24"/>
      <c r="F510" s="24"/>
      <c r="G510" s="24"/>
      <c r="H510" s="24"/>
      <c r="I510" s="24"/>
      <c r="J510" s="24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24"/>
      <c r="D511" s="24"/>
      <c r="E511" s="24"/>
      <c r="F511" s="24"/>
      <c r="G511" s="24"/>
      <c r="H511" s="24"/>
      <c r="I511" s="24"/>
      <c r="J511" s="24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24"/>
      <c r="D512" s="24"/>
      <c r="E512" s="24"/>
      <c r="F512" s="24"/>
      <c r="G512" s="24"/>
      <c r="H512" s="24"/>
      <c r="I512" s="24"/>
      <c r="J512" s="24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24"/>
      <c r="D513" s="24"/>
      <c r="E513" s="24"/>
      <c r="F513" s="24"/>
      <c r="G513" s="24"/>
      <c r="H513" s="24"/>
      <c r="I513" s="24"/>
      <c r="J513" s="24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24"/>
      <c r="D514" s="24"/>
      <c r="E514" s="24"/>
      <c r="F514" s="24"/>
      <c r="G514" s="24"/>
      <c r="H514" s="24"/>
      <c r="I514" s="24"/>
      <c r="J514" s="24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24"/>
      <c r="D515" s="24"/>
      <c r="E515" s="24"/>
      <c r="F515" s="24"/>
      <c r="G515" s="24"/>
      <c r="H515" s="24"/>
      <c r="I515" s="24"/>
      <c r="J515" s="24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24"/>
      <c r="D516" s="24"/>
      <c r="E516" s="24"/>
      <c r="F516" s="24"/>
      <c r="G516" s="24"/>
      <c r="H516" s="24"/>
      <c r="I516" s="24"/>
      <c r="J516" s="24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24"/>
      <c r="D517" s="24"/>
      <c r="E517" s="24"/>
      <c r="F517" s="24"/>
      <c r="G517" s="24"/>
      <c r="H517" s="24"/>
      <c r="I517" s="24"/>
      <c r="J517" s="24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24"/>
      <c r="D518" s="24"/>
      <c r="E518" s="24"/>
      <c r="F518" s="24"/>
      <c r="G518" s="24"/>
      <c r="H518" s="24"/>
      <c r="I518" s="24"/>
      <c r="J518" s="24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24"/>
      <c r="D519" s="24"/>
      <c r="E519" s="24"/>
      <c r="F519" s="24"/>
      <c r="G519" s="24"/>
      <c r="H519" s="24"/>
      <c r="I519" s="24"/>
      <c r="J519" s="24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24"/>
      <c r="D520" s="24"/>
      <c r="E520" s="24"/>
      <c r="F520" s="24"/>
      <c r="G520" s="24"/>
      <c r="H520" s="24"/>
      <c r="I520" s="24"/>
      <c r="J520" s="24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24"/>
      <c r="D521" s="24"/>
      <c r="E521" s="24"/>
      <c r="F521" s="24"/>
      <c r="G521" s="24"/>
      <c r="H521" s="24"/>
      <c r="I521" s="24"/>
      <c r="J521" s="24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24"/>
      <c r="D522" s="24"/>
      <c r="E522" s="24"/>
      <c r="F522" s="24"/>
      <c r="G522" s="24"/>
      <c r="H522" s="24"/>
      <c r="I522" s="24"/>
      <c r="J522" s="24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24"/>
      <c r="D523" s="24"/>
      <c r="E523" s="24"/>
      <c r="F523" s="24"/>
      <c r="G523" s="24"/>
      <c r="H523" s="24"/>
      <c r="I523" s="24"/>
      <c r="J523" s="24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24"/>
      <c r="D524" s="24"/>
      <c r="E524" s="24"/>
      <c r="F524" s="24"/>
      <c r="G524" s="24"/>
      <c r="H524" s="24"/>
      <c r="I524" s="24"/>
      <c r="J524" s="24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24"/>
      <c r="D525" s="24"/>
      <c r="E525" s="24"/>
      <c r="F525" s="24"/>
      <c r="G525" s="24"/>
      <c r="H525" s="24"/>
      <c r="I525" s="24"/>
      <c r="J525" s="24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24"/>
      <c r="D526" s="24"/>
      <c r="E526" s="24"/>
      <c r="F526" s="24"/>
      <c r="G526" s="24"/>
      <c r="H526" s="24"/>
      <c r="I526" s="24"/>
      <c r="J526" s="24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24"/>
      <c r="D527" s="24"/>
      <c r="E527" s="24"/>
      <c r="F527" s="24"/>
      <c r="G527" s="24"/>
      <c r="H527" s="24"/>
      <c r="I527" s="24"/>
      <c r="J527" s="24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24"/>
      <c r="D528" s="24"/>
      <c r="E528" s="24"/>
      <c r="F528" s="24"/>
      <c r="G528" s="24"/>
      <c r="H528" s="24"/>
      <c r="I528" s="24"/>
      <c r="J528" s="24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24"/>
      <c r="D529" s="24"/>
      <c r="E529" s="24"/>
      <c r="F529" s="24"/>
      <c r="G529" s="24"/>
      <c r="H529" s="24"/>
      <c r="I529" s="24"/>
      <c r="J529" s="24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24"/>
      <c r="D530" s="24"/>
      <c r="E530" s="24"/>
      <c r="F530" s="24"/>
      <c r="G530" s="24"/>
      <c r="H530" s="24"/>
      <c r="I530" s="24"/>
      <c r="J530" s="24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24"/>
      <c r="D531" s="24"/>
      <c r="E531" s="24"/>
      <c r="F531" s="24"/>
      <c r="G531" s="24"/>
      <c r="H531" s="24"/>
      <c r="I531" s="24"/>
      <c r="J531" s="24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24"/>
      <c r="D532" s="24"/>
      <c r="E532" s="24"/>
      <c r="F532" s="24"/>
      <c r="G532" s="24"/>
      <c r="H532" s="24"/>
      <c r="I532" s="24"/>
      <c r="J532" s="24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24"/>
      <c r="D533" s="24"/>
      <c r="E533" s="24"/>
      <c r="F533" s="24"/>
      <c r="G533" s="24"/>
      <c r="H533" s="24"/>
      <c r="I533" s="24"/>
      <c r="J533" s="24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24"/>
      <c r="D534" s="24"/>
      <c r="E534" s="24"/>
      <c r="F534" s="24"/>
      <c r="G534" s="24"/>
      <c r="H534" s="24"/>
      <c r="I534" s="24"/>
      <c r="J534" s="24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24"/>
      <c r="D535" s="24"/>
      <c r="E535" s="24"/>
      <c r="F535" s="24"/>
      <c r="G535" s="24"/>
      <c r="H535" s="24"/>
      <c r="I535" s="24"/>
      <c r="J535" s="24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24"/>
      <c r="D536" s="24"/>
      <c r="E536" s="24"/>
      <c r="F536" s="24"/>
      <c r="G536" s="24"/>
      <c r="H536" s="24"/>
      <c r="I536" s="24"/>
      <c r="J536" s="24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24"/>
      <c r="D537" s="24"/>
      <c r="E537" s="24"/>
      <c r="F537" s="24"/>
      <c r="G537" s="24"/>
      <c r="H537" s="24"/>
      <c r="I537" s="24"/>
      <c r="J537" s="24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24"/>
      <c r="D538" s="24"/>
      <c r="E538" s="24"/>
      <c r="F538" s="24"/>
      <c r="G538" s="24"/>
      <c r="H538" s="24"/>
      <c r="I538" s="24"/>
      <c r="J538" s="24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24"/>
      <c r="D539" s="24"/>
      <c r="E539" s="24"/>
      <c r="F539" s="24"/>
      <c r="G539" s="24"/>
      <c r="H539" s="24"/>
      <c r="I539" s="24"/>
      <c r="J539" s="24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24"/>
      <c r="D540" s="24"/>
      <c r="E540" s="24"/>
      <c r="F540" s="24"/>
      <c r="G540" s="24"/>
      <c r="H540" s="24"/>
      <c r="I540" s="24"/>
      <c r="J540" s="24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24"/>
      <c r="D541" s="24"/>
      <c r="E541" s="24"/>
      <c r="F541" s="24"/>
      <c r="G541" s="24"/>
      <c r="H541" s="24"/>
      <c r="I541" s="24"/>
      <c r="J541" s="24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24"/>
      <c r="D542" s="24"/>
      <c r="E542" s="24"/>
      <c r="F542" s="24"/>
      <c r="G542" s="24"/>
      <c r="H542" s="24"/>
      <c r="I542" s="24"/>
      <c r="J542" s="24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24"/>
      <c r="D543" s="24"/>
      <c r="E543" s="24"/>
      <c r="F543" s="24"/>
      <c r="G543" s="24"/>
      <c r="H543" s="24"/>
      <c r="I543" s="24"/>
      <c r="J543" s="24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24"/>
      <c r="D544" s="24"/>
      <c r="E544" s="24"/>
      <c r="F544" s="24"/>
      <c r="G544" s="24"/>
      <c r="H544" s="24"/>
      <c r="I544" s="24"/>
      <c r="J544" s="24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24"/>
      <c r="D545" s="24"/>
      <c r="E545" s="24"/>
      <c r="F545" s="24"/>
      <c r="G545" s="24"/>
      <c r="H545" s="24"/>
      <c r="I545" s="24"/>
      <c r="J545" s="24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24"/>
      <c r="D546" s="24"/>
      <c r="E546" s="24"/>
      <c r="F546" s="24"/>
      <c r="G546" s="24"/>
      <c r="H546" s="24"/>
      <c r="I546" s="24"/>
      <c r="J546" s="24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24"/>
      <c r="D547" s="24"/>
      <c r="E547" s="24"/>
      <c r="F547" s="24"/>
      <c r="G547" s="24"/>
      <c r="H547" s="24"/>
      <c r="I547" s="24"/>
      <c r="J547" s="24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24"/>
      <c r="D548" s="24"/>
      <c r="E548" s="24"/>
      <c r="F548" s="24"/>
      <c r="G548" s="24"/>
      <c r="H548" s="24"/>
      <c r="I548" s="24"/>
      <c r="J548" s="24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24"/>
      <c r="D549" s="24"/>
      <c r="E549" s="24"/>
      <c r="F549" s="24"/>
      <c r="G549" s="24"/>
      <c r="H549" s="24"/>
      <c r="I549" s="24"/>
      <c r="J549" s="24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24"/>
      <c r="D550" s="24"/>
      <c r="E550" s="24"/>
      <c r="F550" s="24"/>
      <c r="G550" s="24"/>
      <c r="H550" s="24"/>
      <c r="I550" s="24"/>
      <c r="J550" s="24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24"/>
      <c r="D551" s="24"/>
      <c r="E551" s="24"/>
      <c r="F551" s="24"/>
      <c r="G551" s="24"/>
      <c r="H551" s="24"/>
      <c r="I551" s="24"/>
      <c r="J551" s="24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24"/>
      <c r="D552" s="24"/>
      <c r="E552" s="24"/>
      <c r="F552" s="24"/>
      <c r="G552" s="24"/>
      <c r="H552" s="24"/>
      <c r="I552" s="24"/>
      <c r="J552" s="24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24"/>
      <c r="D553" s="24"/>
      <c r="E553" s="24"/>
      <c r="F553" s="24"/>
      <c r="G553" s="24"/>
      <c r="H553" s="24"/>
      <c r="I553" s="24"/>
      <c r="J553" s="24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24"/>
      <c r="D554" s="24"/>
      <c r="E554" s="24"/>
      <c r="F554" s="24"/>
      <c r="G554" s="24"/>
      <c r="H554" s="24"/>
      <c r="I554" s="24"/>
      <c r="J554" s="24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24"/>
      <c r="D555" s="24"/>
      <c r="E555" s="24"/>
      <c r="F555" s="24"/>
      <c r="G555" s="24"/>
      <c r="H555" s="24"/>
      <c r="I555" s="24"/>
      <c r="J555" s="24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24"/>
      <c r="D556" s="24"/>
      <c r="E556" s="24"/>
      <c r="F556" s="24"/>
      <c r="G556" s="24"/>
      <c r="H556" s="24"/>
      <c r="I556" s="24"/>
      <c r="J556" s="24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24"/>
      <c r="D557" s="24"/>
      <c r="E557" s="24"/>
      <c r="F557" s="24"/>
      <c r="G557" s="24"/>
      <c r="H557" s="24"/>
      <c r="I557" s="24"/>
      <c r="J557" s="24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24"/>
      <c r="D558" s="24"/>
      <c r="E558" s="24"/>
      <c r="F558" s="24"/>
      <c r="G558" s="24"/>
      <c r="H558" s="24"/>
      <c r="I558" s="24"/>
      <c r="J558" s="24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24"/>
      <c r="D559" s="24"/>
      <c r="E559" s="24"/>
      <c r="F559" s="24"/>
      <c r="G559" s="24"/>
      <c r="H559" s="24"/>
      <c r="I559" s="24"/>
      <c r="J559" s="24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24"/>
      <c r="D560" s="24"/>
      <c r="E560" s="24"/>
      <c r="F560" s="24"/>
      <c r="G560" s="24"/>
      <c r="H560" s="24"/>
      <c r="I560" s="24"/>
      <c r="J560" s="24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24"/>
      <c r="D561" s="24"/>
      <c r="E561" s="24"/>
      <c r="F561" s="24"/>
      <c r="G561" s="24"/>
      <c r="H561" s="24"/>
      <c r="I561" s="24"/>
      <c r="J561" s="24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24"/>
      <c r="D562" s="24"/>
      <c r="E562" s="24"/>
      <c r="F562" s="24"/>
      <c r="G562" s="24"/>
      <c r="H562" s="24"/>
      <c r="I562" s="24"/>
      <c r="J562" s="24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24"/>
      <c r="D563" s="24"/>
      <c r="E563" s="24"/>
      <c r="F563" s="24"/>
      <c r="G563" s="24"/>
      <c r="H563" s="24"/>
      <c r="I563" s="24"/>
      <c r="J563" s="24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24"/>
      <c r="D564" s="24"/>
      <c r="E564" s="24"/>
      <c r="F564" s="24"/>
      <c r="G564" s="24"/>
      <c r="H564" s="24"/>
      <c r="I564" s="24"/>
      <c r="J564" s="24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24"/>
      <c r="D565" s="24"/>
      <c r="E565" s="24"/>
      <c r="F565" s="24"/>
      <c r="G565" s="24"/>
      <c r="H565" s="24"/>
      <c r="I565" s="24"/>
      <c r="J565" s="24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24"/>
      <c r="D566" s="24"/>
      <c r="E566" s="24"/>
      <c r="F566" s="24"/>
      <c r="G566" s="24"/>
      <c r="H566" s="24"/>
      <c r="I566" s="24"/>
      <c r="J566" s="24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24"/>
      <c r="D567" s="24"/>
      <c r="E567" s="24"/>
      <c r="F567" s="24"/>
      <c r="G567" s="24"/>
      <c r="H567" s="24"/>
      <c r="I567" s="24"/>
      <c r="J567" s="24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24"/>
      <c r="D568" s="24"/>
      <c r="E568" s="24"/>
      <c r="F568" s="24"/>
      <c r="G568" s="24"/>
      <c r="H568" s="24"/>
      <c r="I568" s="24"/>
      <c r="J568" s="24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24"/>
      <c r="D569" s="24"/>
      <c r="E569" s="24"/>
      <c r="F569" s="24"/>
      <c r="G569" s="24"/>
      <c r="H569" s="24"/>
      <c r="I569" s="24"/>
      <c r="J569" s="24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24"/>
      <c r="D570" s="24"/>
      <c r="E570" s="24"/>
      <c r="F570" s="24"/>
      <c r="G570" s="24"/>
      <c r="H570" s="24"/>
      <c r="I570" s="24"/>
      <c r="J570" s="24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24"/>
      <c r="D571" s="24"/>
      <c r="E571" s="24"/>
      <c r="F571" s="24"/>
      <c r="G571" s="24"/>
      <c r="H571" s="24"/>
      <c r="I571" s="24"/>
      <c r="J571" s="24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24"/>
      <c r="D572" s="24"/>
      <c r="E572" s="24"/>
      <c r="F572" s="24"/>
      <c r="G572" s="24"/>
      <c r="H572" s="24"/>
      <c r="I572" s="24"/>
      <c r="J572" s="24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24"/>
      <c r="D573" s="24"/>
      <c r="E573" s="24"/>
      <c r="F573" s="24"/>
      <c r="G573" s="24"/>
      <c r="H573" s="24"/>
      <c r="I573" s="24"/>
      <c r="J573" s="24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24"/>
      <c r="D574" s="24"/>
      <c r="E574" s="24"/>
      <c r="F574" s="24"/>
      <c r="G574" s="24"/>
      <c r="H574" s="24"/>
      <c r="I574" s="24"/>
      <c r="J574" s="24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24"/>
      <c r="D575" s="24"/>
      <c r="E575" s="24"/>
      <c r="F575" s="24"/>
      <c r="G575" s="24"/>
      <c r="H575" s="24"/>
      <c r="I575" s="24"/>
      <c r="J575" s="24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24"/>
      <c r="D576" s="24"/>
      <c r="E576" s="24"/>
      <c r="F576" s="24"/>
      <c r="G576" s="24"/>
      <c r="H576" s="24"/>
      <c r="I576" s="24"/>
      <c r="J576" s="24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24"/>
      <c r="D577" s="24"/>
      <c r="E577" s="24"/>
      <c r="F577" s="24"/>
      <c r="G577" s="24"/>
      <c r="H577" s="24"/>
      <c r="I577" s="24"/>
      <c r="J577" s="24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24"/>
      <c r="D578" s="24"/>
      <c r="E578" s="24"/>
      <c r="F578" s="24"/>
      <c r="G578" s="24"/>
      <c r="H578" s="24"/>
      <c r="I578" s="24"/>
      <c r="J578" s="24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24"/>
      <c r="D579" s="24"/>
      <c r="E579" s="24"/>
      <c r="F579" s="24"/>
      <c r="G579" s="24"/>
      <c r="H579" s="24"/>
      <c r="I579" s="24"/>
      <c r="J579" s="24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24"/>
      <c r="D580" s="24"/>
      <c r="E580" s="24"/>
      <c r="F580" s="24"/>
      <c r="G580" s="24"/>
      <c r="H580" s="24"/>
      <c r="I580" s="24"/>
      <c r="J580" s="24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24"/>
      <c r="D581" s="24"/>
      <c r="E581" s="24"/>
      <c r="F581" s="24"/>
      <c r="G581" s="24"/>
      <c r="H581" s="24"/>
      <c r="I581" s="24"/>
      <c r="J581" s="24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24"/>
      <c r="D582" s="24"/>
      <c r="E582" s="24"/>
      <c r="F582" s="24"/>
      <c r="G582" s="24"/>
      <c r="H582" s="24"/>
      <c r="I582" s="24"/>
      <c r="J582" s="24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24"/>
      <c r="D583" s="24"/>
      <c r="E583" s="24"/>
      <c r="F583" s="24"/>
      <c r="G583" s="24"/>
      <c r="H583" s="24"/>
      <c r="I583" s="24"/>
      <c r="J583" s="24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24"/>
      <c r="D584" s="24"/>
      <c r="E584" s="24"/>
      <c r="F584" s="24"/>
      <c r="G584" s="24"/>
      <c r="H584" s="24"/>
      <c r="I584" s="24"/>
      <c r="J584" s="24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24"/>
      <c r="D585" s="24"/>
      <c r="E585" s="24"/>
      <c r="F585" s="24"/>
      <c r="G585" s="24"/>
      <c r="H585" s="24"/>
      <c r="I585" s="24"/>
      <c r="J585" s="24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24"/>
      <c r="D586" s="24"/>
      <c r="E586" s="24"/>
      <c r="F586" s="24"/>
      <c r="G586" s="24"/>
      <c r="H586" s="24"/>
      <c r="I586" s="24"/>
      <c r="J586" s="24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24"/>
      <c r="D587" s="24"/>
      <c r="E587" s="24"/>
      <c r="F587" s="24"/>
      <c r="G587" s="24"/>
      <c r="H587" s="24"/>
      <c r="I587" s="24"/>
      <c r="J587" s="24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24"/>
      <c r="D588" s="24"/>
      <c r="E588" s="24"/>
      <c r="F588" s="24"/>
      <c r="G588" s="24"/>
      <c r="H588" s="24"/>
      <c r="I588" s="24"/>
      <c r="J588" s="24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24"/>
      <c r="D589" s="24"/>
      <c r="E589" s="24"/>
      <c r="F589" s="24"/>
      <c r="G589" s="24"/>
      <c r="H589" s="24"/>
      <c r="I589" s="24"/>
      <c r="J589" s="24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24"/>
      <c r="D590" s="24"/>
      <c r="E590" s="24"/>
      <c r="F590" s="24"/>
      <c r="G590" s="24"/>
      <c r="H590" s="24"/>
      <c r="I590" s="24"/>
      <c r="J590" s="24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24"/>
      <c r="D591" s="24"/>
      <c r="E591" s="24"/>
      <c r="F591" s="24"/>
      <c r="G591" s="24"/>
      <c r="H591" s="24"/>
      <c r="I591" s="24"/>
      <c r="J591" s="24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24"/>
      <c r="D592" s="24"/>
      <c r="E592" s="24"/>
      <c r="F592" s="24"/>
      <c r="G592" s="24"/>
      <c r="H592" s="24"/>
      <c r="I592" s="24"/>
      <c r="J592" s="24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24"/>
      <c r="D593" s="24"/>
      <c r="E593" s="24"/>
      <c r="F593" s="24"/>
      <c r="G593" s="24"/>
      <c r="H593" s="24"/>
      <c r="I593" s="24"/>
      <c r="J593" s="24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24"/>
      <c r="D594" s="24"/>
      <c r="E594" s="24"/>
      <c r="F594" s="24"/>
      <c r="G594" s="24"/>
      <c r="H594" s="24"/>
      <c r="I594" s="24"/>
      <c r="J594" s="24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24"/>
      <c r="D595" s="24"/>
      <c r="E595" s="24"/>
      <c r="F595" s="24"/>
      <c r="G595" s="24"/>
      <c r="H595" s="24"/>
      <c r="I595" s="24"/>
      <c r="J595" s="24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24"/>
      <c r="D596" s="24"/>
      <c r="E596" s="24"/>
      <c r="F596" s="24"/>
      <c r="G596" s="24"/>
      <c r="H596" s="24"/>
      <c r="I596" s="24"/>
      <c r="J596" s="24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24"/>
      <c r="D597" s="24"/>
      <c r="E597" s="24"/>
      <c r="F597" s="24"/>
      <c r="G597" s="24"/>
      <c r="H597" s="24"/>
      <c r="I597" s="24"/>
      <c r="J597" s="24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24"/>
      <c r="D598" s="24"/>
      <c r="E598" s="24"/>
      <c r="F598" s="24"/>
      <c r="G598" s="24"/>
      <c r="H598" s="24"/>
      <c r="I598" s="24"/>
      <c r="J598" s="24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24"/>
      <c r="D599" s="24"/>
      <c r="E599" s="24"/>
      <c r="F599" s="24"/>
      <c r="G599" s="24"/>
      <c r="H599" s="24"/>
      <c r="I599" s="24"/>
      <c r="J599" s="24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24"/>
      <c r="D600" s="24"/>
      <c r="E600" s="24"/>
      <c r="F600" s="24"/>
      <c r="G600" s="24"/>
      <c r="H600" s="24"/>
      <c r="I600" s="24"/>
      <c r="J600" s="24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24"/>
      <c r="D601" s="24"/>
      <c r="E601" s="24"/>
      <c r="F601" s="24"/>
      <c r="G601" s="24"/>
      <c r="H601" s="24"/>
      <c r="I601" s="24"/>
      <c r="J601" s="24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24"/>
      <c r="D602" s="24"/>
      <c r="E602" s="24"/>
      <c r="F602" s="24"/>
      <c r="G602" s="24"/>
      <c r="H602" s="24"/>
      <c r="I602" s="24"/>
      <c r="J602" s="24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24"/>
      <c r="D603" s="24"/>
      <c r="E603" s="24"/>
      <c r="F603" s="24"/>
      <c r="G603" s="24"/>
      <c r="H603" s="24"/>
      <c r="I603" s="24"/>
      <c r="J603" s="24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24"/>
      <c r="D604" s="24"/>
      <c r="E604" s="24"/>
      <c r="F604" s="24"/>
      <c r="G604" s="24"/>
      <c r="H604" s="24"/>
      <c r="I604" s="24"/>
      <c r="J604" s="24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24"/>
      <c r="D605" s="24"/>
      <c r="E605" s="24"/>
      <c r="F605" s="24"/>
      <c r="G605" s="24"/>
      <c r="H605" s="24"/>
      <c r="I605" s="24"/>
      <c r="J605" s="24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24"/>
      <c r="D606" s="24"/>
      <c r="E606" s="24"/>
      <c r="F606" s="24"/>
      <c r="G606" s="24"/>
      <c r="H606" s="24"/>
      <c r="I606" s="24"/>
      <c r="J606" s="24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24"/>
      <c r="D607" s="24"/>
      <c r="E607" s="24"/>
      <c r="F607" s="24"/>
      <c r="G607" s="24"/>
      <c r="H607" s="24"/>
      <c r="I607" s="24"/>
      <c r="J607" s="24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24"/>
      <c r="D608" s="24"/>
      <c r="E608" s="24"/>
      <c r="F608" s="24"/>
      <c r="G608" s="24"/>
      <c r="H608" s="24"/>
      <c r="I608" s="24"/>
      <c r="J608" s="24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24"/>
      <c r="D609" s="24"/>
      <c r="E609" s="24"/>
      <c r="F609" s="24"/>
      <c r="G609" s="24"/>
      <c r="H609" s="24"/>
      <c r="I609" s="24"/>
      <c r="J609" s="24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24"/>
      <c r="D610" s="24"/>
      <c r="E610" s="24"/>
      <c r="F610" s="24"/>
      <c r="G610" s="24"/>
      <c r="H610" s="24"/>
      <c r="I610" s="24"/>
      <c r="J610" s="24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24"/>
      <c r="D611" s="24"/>
      <c r="E611" s="24"/>
      <c r="F611" s="24"/>
      <c r="G611" s="24"/>
      <c r="H611" s="24"/>
      <c r="I611" s="24"/>
      <c r="J611" s="24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24"/>
      <c r="D612" s="24"/>
      <c r="E612" s="24"/>
      <c r="F612" s="24"/>
      <c r="G612" s="24"/>
      <c r="H612" s="24"/>
      <c r="I612" s="24"/>
      <c r="J612" s="24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24"/>
      <c r="D613" s="24"/>
      <c r="E613" s="24"/>
      <c r="F613" s="24"/>
      <c r="G613" s="24"/>
      <c r="H613" s="24"/>
      <c r="I613" s="24"/>
      <c r="J613" s="24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24"/>
      <c r="D614" s="24"/>
      <c r="E614" s="24"/>
      <c r="F614" s="24"/>
      <c r="G614" s="24"/>
      <c r="H614" s="24"/>
      <c r="I614" s="24"/>
      <c r="J614" s="24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24"/>
      <c r="D615" s="24"/>
      <c r="E615" s="24"/>
      <c r="F615" s="24"/>
      <c r="G615" s="24"/>
      <c r="H615" s="24"/>
      <c r="I615" s="24"/>
      <c r="J615" s="24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24"/>
      <c r="D616" s="24"/>
      <c r="E616" s="24"/>
      <c r="F616" s="24"/>
      <c r="G616" s="24"/>
      <c r="H616" s="24"/>
      <c r="I616" s="24"/>
      <c r="J616" s="24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24"/>
      <c r="D617" s="24"/>
      <c r="E617" s="24"/>
      <c r="F617" s="24"/>
      <c r="G617" s="24"/>
      <c r="H617" s="24"/>
      <c r="I617" s="24"/>
      <c r="J617" s="24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24"/>
      <c r="D618" s="24"/>
      <c r="E618" s="24"/>
      <c r="F618" s="24"/>
      <c r="G618" s="24"/>
      <c r="H618" s="24"/>
      <c r="I618" s="24"/>
      <c r="J618" s="24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24"/>
      <c r="D619" s="24"/>
      <c r="E619" s="24"/>
      <c r="F619" s="24"/>
      <c r="G619" s="24"/>
      <c r="H619" s="24"/>
      <c r="I619" s="24"/>
      <c r="J619" s="24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24"/>
      <c r="D620" s="24"/>
      <c r="E620" s="24"/>
      <c r="F620" s="24"/>
      <c r="G620" s="24"/>
      <c r="H620" s="24"/>
      <c r="I620" s="24"/>
      <c r="J620" s="24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24"/>
      <c r="D621" s="24"/>
      <c r="E621" s="24"/>
      <c r="F621" s="24"/>
      <c r="G621" s="24"/>
      <c r="H621" s="24"/>
      <c r="I621" s="24"/>
      <c r="J621" s="24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24"/>
      <c r="D622" s="24"/>
      <c r="E622" s="24"/>
      <c r="F622" s="24"/>
      <c r="G622" s="24"/>
      <c r="H622" s="24"/>
      <c r="I622" s="24"/>
      <c r="J622" s="24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24"/>
      <c r="D623" s="24"/>
      <c r="E623" s="24"/>
      <c r="F623" s="24"/>
      <c r="G623" s="24"/>
      <c r="H623" s="24"/>
      <c r="I623" s="24"/>
      <c r="J623" s="24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24"/>
      <c r="D624" s="24"/>
      <c r="E624" s="24"/>
      <c r="F624" s="24"/>
      <c r="G624" s="24"/>
      <c r="H624" s="24"/>
      <c r="I624" s="24"/>
      <c r="J624" s="24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24"/>
      <c r="D625" s="24"/>
      <c r="E625" s="24"/>
      <c r="F625" s="24"/>
      <c r="G625" s="24"/>
      <c r="H625" s="24"/>
      <c r="I625" s="24"/>
      <c r="J625" s="24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24"/>
      <c r="D626" s="24"/>
      <c r="E626" s="24"/>
      <c r="F626" s="24"/>
      <c r="G626" s="24"/>
      <c r="H626" s="24"/>
      <c r="I626" s="24"/>
      <c r="J626" s="24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24"/>
      <c r="D627" s="24"/>
      <c r="E627" s="24"/>
      <c r="F627" s="24"/>
      <c r="G627" s="24"/>
      <c r="H627" s="24"/>
      <c r="I627" s="24"/>
      <c r="J627" s="24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24"/>
      <c r="D628" s="24"/>
      <c r="E628" s="24"/>
      <c r="F628" s="24"/>
      <c r="G628" s="24"/>
      <c r="H628" s="24"/>
      <c r="I628" s="24"/>
      <c r="J628" s="24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24"/>
      <c r="D629" s="24"/>
      <c r="E629" s="24"/>
      <c r="F629" s="24"/>
      <c r="G629" s="24"/>
      <c r="H629" s="24"/>
      <c r="I629" s="24"/>
      <c r="J629" s="24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24"/>
      <c r="D630" s="24"/>
      <c r="E630" s="24"/>
      <c r="F630" s="24"/>
      <c r="G630" s="24"/>
      <c r="H630" s="24"/>
      <c r="I630" s="24"/>
      <c r="J630" s="24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24"/>
      <c r="D631" s="24"/>
      <c r="E631" s="24"/>
      <c r="F631" s="24"/>
      <c r="G631" s="24"/>
      <c r="H631" s="24"/>
      <c r="I631" s="24"/>
      <c r="J631" s="24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24"/>
      <c r="D632" s="24"/>
      <c r="E632" s="24"/>
      <c r="F632" s="24"/>
      <c r="G632" s="24"/>
      <c r="H632" s="24"/>
      <c r="I632" s="24"/>
      <c r="J632" s="24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24"/>
      <c r="D633" s="24"/>
      <c r="E633" s="24"/>
      <c r="F633" s="24"/>
      <c r="G633" s="24"/>
      <c r="H633" s="24"/>
      <c r="I633" s="24"/>
      <c r="J633" s="24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24"/>
      <c r="D634" s="24"/>
      <c r="E634" s="24"/>
      <c r="F634" s="24"/>
      <c r="G634" s="24"/>
      <c r="H634" s="24"/>
      <c r="I634" s="24"/>
      <c r="J634" s="24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24"/>
      <c r="D635" s="24"/>
      <c r="E635" s="24"/>
      <c r="F635" s="24"/>
      <c r="G635" s="24"/>
      <c r="H635" s="24"/>
      <c r="I635" s="24"/>
      <c r="J635" s="24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24"/>
      <c r="D636" s="24"/>
      <c r="E636" s="24"/>
      <c r="F636" s="24"/>
      <c r="G636" s="24"/>
      <c r="H636" s="24"/>
      <c r="I636" s="24"/>
      <c r="J636" s="24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24"/>
      <c r="D637" s="24"/>
      <c r="E637" s="24"/>
      <c r="F637" s="24"/>
      <c r="G637" s="24"/>
      <c r="H637" s="24"/>
      <c r="I637" s="24"/>
      <c r="J637" s="24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24"/>
      <c r="D638" s="24"/>
      <c r="E638" s="24"/>
      <c r="F638" s="24"/>
      <c r="G638" s="24"/>
      <c r="H638" s="24"/>
      <c r="I638" s="24"/>
      <c r="J638" s="24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24"/>
      <c r="D639" s="24"/>
      <c r="E639" s="24"/>
      <c r="F639" s="24"/>
      <c r="G639" s="24"/>
      <c r="H639" s="24"/>
      <c r="I639" s="24"/>
      <c r="J639" s="24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24"/>
      <c r="D640" s="24"/>
      <c r="E640" s="24"/>
      <c r="F640" s="24"/>
      <c r="G640" s="24"/>
      <c r="H640" s="24"/>
      <c r="I640" s="24"/>
      <c r="J640" s="24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24"/>
      <c r="D641" s="24"/>
      <c r="E641" s="24"/>
      <c r="F641" s="24"/>
      <c r="G641" s="24"/>
      <c r="H641" s="24"/>
      <c r="I641" s="24"/>
      <c r="J641" s="24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24"/>
      <c r="D642" s="24"/>
      <c r="E642" s="24"/>
      <c r="F642" s="24"/>
      <c r="G642" s="24"/>
      <c r="H642" s="24"/>
      <c r="I642" s="24"/>
      <c r="J642" s="24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24"/>
      <c r="D643" s="24"/>
      <c r="E643" s="24"/>
      <c r="F643" s="24"/>
      <c r="G643" s="24"/>
      <c r="H643" s="24"/>
      <c r="I643" s="24"/>
      <c r="J643" s="24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24"/>
      <c r="D644" s="24"/>
      <c r="E644" s="24"/>
      <c r="F644" s="24"/>
      <c r="G644" s="24"/>
      <c r="H644" s="24"/>
      <c r="I644" s="24"/>
      <c r="J644" s="24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24"/>
      <c r="D645" s="24"/>
      <c r="E645" s="24"/>
      <c r="F645" s="24"/>
      <c r="G645" s="24"/>
      <c r="H645" s="24"/>
      <c r="I645" s="24"/>
      <c r="J645" s="24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24"/>
      <c r="D646" s="24"/>
      <c r="E646" s="24"/>
      <c r="F646" s="24"/>
      <c r="G646" s="24"/>
      <c r="H646" s="24"/>
      <c r="I646" s="24"/>
      <c r="J646" s="24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24"/>
      <c r="D647" s="24"/>
      <c r="E647" s="24"/>
      <c r="F647" s="24"/>
      <c r="G647" s="24"/>
      <c r="H647" s="24"/>
      <c r="I647" s="24"/>
      <c r="J647" s="24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24"/>
      <c r="D648" s="24"/>
      <c r="E648" s="24"/>
      <c r="F648" s="24"/>
      <c r="G648" s="24"/>
      <c r="H648" s="24"/>
      <c r="I648" s="24"/>
      <c r="J648" s="24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24"/>
      <c r="D649" s="24"/>
      <c r="E649" s="24"/>
      <c r="F649" s="24"/>
      <c r="G649" s="24"/>
      <c r="H649" s="24"/>
      <c r="I649" s="24"/>
      <c r="J649" s="24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24"/>
      <c r="D650" s="24"/>
      <c r="E650" s="24"/>
      <c r="F650" s="24"/>
      <c r="G650" s="24"/>
      <c r="H650" s="24"/>
      <c r="I650" s="24"/>
      <c r="J650" s="24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24"/>
      <c r="D651" s="24"/>
      <c r="E651" s="24"/>
      <c r="F651" s="24"/>
      <c r="G651" s="24"/>
      <c r="H651" s="24"/>
      <c r="I651" s="24"/>
      <c r="J651" s="24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24"/>
      <c r="D652" s="24"/>
      <c r="E652" s="24"/>
      <c r="F652" s="24"/>
      <c r="G652" s="24"/>
      <c r="H652" s="24"/>
      <c r="I652" s="24"/>
      <c r="J652" s="24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24"/>
      <c r="D653" s="24"/>
      <c r="E653" s="24"/>
      <c r="F653" s="24"/>
      <c r="G653" s="24"/>
      <c r="H653" s="24"/>
      <c r="I653" s="24"/>
      <c r="J653" s="24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24"/>
      <c r="D654" s="24"/>
      <c r="E654" s="24"/>
      <c r="F654" s="24"/>
      <c r="G654" s="24"/>
      <c r="H654" s="24"/>
      <c r="I654" s="24"/>
      <c r="J654" s="24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24"/>
      <c r="D655" s="24"/>
      <c r="E655" s="24"/>
      <c r="F655" s="24"/>
      <c r="G655" s="24"/>
      <c r="H655" s="24"/>
      <c r="I655" s="24"/>
      <c r="J655" s="24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24"/>
      <c r="D656" s="24"/>
      <c r="E656" s="24"/>
      <c r="F656" s="24"/>
      <c r="G656" s="24"/>
      <c r="H656" s="24"/>
      <c r="I656" s="24"/>
      <c r="J656" s="24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24"/>
      <c r="D657" s="24"/>
      <c r="E657" s="24"/>
      <c r="F657" s="24"/>
      <c r="G657" s="24"/>
      <c r="H657" s="24"/>
      <c r="I657" s="24"/>
      <c r="J657" s="24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24"/>
      <c r="D658" s="24"/>
      <c r="E658" s="24"/>
      <c r="F658" s="24"/>
      <c r="G658" s="24"/>
      <c r="H658" s="24"/>
      <c r="I658" s="24"/>
      <c r="J658" s="24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24"/>
      <c r="D659" s="24"/>
      <c r="E659" s="24"/>
      <c r="F659" s="24"/>
      <c r="G659" s="24"/>
      <c r="H659" s="24"/>
      <c r="I659" s="24"/>
      <c r="J659" s="24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24"/>
      <c r="D660" s="24"/>
      <c r="E660" s="24"/>
      <c r="F660" s="24"/>
      <c r="G660" s="24"/>
      <c r="H660" s="24"/>
      <c r="I660" s="24"/>
      <c r="J660" s="24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24"/>
      <c r="D661" s="24"/>
      <c r="E661" s="24"/>
      <c r="F661" s="24"/>
      <c r="G661" s="24"/>
      <c r="H661" s="24"/>
      <c r="I661" s="24"/>
      <c r="J661" s="24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24"/>
      <c r="D662" s="24"/>
      <c r="E662" s="24"/>
      <c r="F662" s="24"/>
      <c r="G662" s="24"/>
      <c r="H662" s="24"/>
      <c r="I662" s="24"/>
      <c r="J662" s="24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24"/>
      <c r="D663" s="24"/>
      <c r="E663" s="24"/>
      <c r="F663" s="24"/>
      <c r="G663" s="24"/>
      <c r="H663" s="24"/>
      <c r="I663" s="24"/>
      <c r="J663" s="24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24"/>
      <c r="D664" s="24"/>
      <c r="E664" s="24"/>
      <c r="F664" s="24"/>
      <c r="G664" s="24"/>
      <c r="H664" s="24"/>
      <c r="I664" s="24"/>
      <c r="J664" s="24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24"/>
      <c r="D665" s="24"/>
      <c r="E665" s="24"/>
      <c r="F665" s="24"/>
      <c r="G665" s="24"/>
      <c r="H665" s="24"/>
      <c r="I665" s="24"/>
      <c r="J665" s="24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24"/>
      <c r="D666" s="24"/>
      <c r="E666" s="24"/>
      <c r="F666" s="24"/>
      <c r="G666" s="24"/>
      <c r="H666" s="24"/>
      <c r="I666" s="24"/>
      <c r="J666" s="24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24"/>
      <c r="D667" s="24"/>
      <c r="E667" s="24"/>
      <c r="F667" s="24"/>
      <c r="G667" s="24"/>
      <c r="H667" s="24"/>
      <c r="I667" s="24"/>
      <c r="J667" s="24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24"/>
      <c r="D668" s="24"/>
      <c r="E668" s="24"/>
      <c r="F668" s="24"/>
      <c r="G668" s="24"/>
      <c r="H668" s="24"/>
      <c r="I668" s="24"/>
      <c r="J668" s="24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24"/>
      <c r="D669" s="24"/>
      <c r="E669" s="24"/>
      <c r="F669" s="24"/>
      <c r="G669" s="24"/>
      <c r="H669" s="24"/>
      <c r="I669" s="24"/>
      <c r="J669" s="24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24"/>
      <c r="D670" s="24"/>
      <c r="E670" s="24"/>
      <c r="F670" s="24"/>
      <c r="G670" s="24"/>
      <c r="H670" s="24"/>
      <c r="I670" s="24"/>
      <c r="J670" s="24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24"/>
      <c r="D671" s="24"/>
      <c r="E671" s="24"/>
      <c r="F671" s="24"/>
      <c r="G671" s="24"/>
      <c r="H671" s="24"/>
      <c r="I671" s="24"/>
      <c r="J671" s="24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24"/>
      <c r="D672" s="24"/>
      <c r="E672" s="24"/>
      <c r="F672" s="24"/>
      <c r="G672" s="24"/>
      <c r="H672" s="24"/>
      <c r="I672" s="24"/>
      <c r="J672" s="24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24"/>
      <c r="D673" s="24"/>
      <c r="E673" s="24"/>
      <c r="F673" s="24"/>
      <c r="G673" s="24"/>
      <c r="H673" s="24"/>
      <c r="I673" s="24"/>
      <c r="J673" s="24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24"/>
      <c r="D674" s="24"/>
      <c r="E674" s="24"/>
      <c r="F674" s="24"/>
      <c r="G674" s="24"/>
      <c r="H674" s="24"/>
      <c r="I674" s="24"/>
      <c r="J674" s="24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24"/>
      <c r="D675" s="24"/>
      <c r="E675" s="24"/>
      <c r="F675" s="24"/>
      <c r="G675" s="24"/>
      <c r="H675" s="24"/>
      <c r="I675" s="24"/>
      <c r="J675" s="24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24"/>
      <c r="D676" s="24"/>
      <c r="E676" s="24"/>
      <c r="F676" s="24"/>
      <c r="G676" s="24"/>
      <c r="H676" s="24"/>
      <c r="I676" s="24"/>
      <c r="J676" s="24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24"/>
      <c r="D677" s="24"/>
      <c r="E677" s="24"/>
      <c r="F677" s="24"/>
      <c r="G677" s="24"/>
      <c r="H677" s="24"/>
      <c r="I677" s="24"/>
      <c r="J677" s="24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24"/>
      <c r="D678" s="24"/>
      <c r="E678" s="24"/>
      <c r="F678" s="24"/>
      <c r="G678" s="24"/>
      <c r="H678" s="24"/>
      <c r="I678" s="24"/>
      <c r="J678" s="24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24"/>
      <c r="D679" s="24"/>
      <c r="E679" s="24"/>
      <c r="F679" s="24"/>
      <c r="G679" s="24"/>
      <c r="H679" s="24"/>
      <c r="I679" s="24"/>
      <c r="J679" s="24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24"/>
      <c r="D680" s="24"/>
      <c r="E680" s="24"/>
      <c r="F680" s="24"/>
      <c r="G680" s="24"/>
      <c r="H680" s="24"/>
      <c r="I680" s="24"/>
      <c r="J680" s="24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24"/>
      <c r="D681" s="24"/>
      <c r="E681" s="24"/>
      <c r="F681" s="24"/>
      <c r="G681" s="24"/>
      <c r="H681" s="24"/>
      <c r="I681" s="24"/>
      <c r="J681" s="24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24"/>
      <c r="D682" s="24"/>
      <c r="E682" s="24"/>
      <c r="F682" s="24"/>
      <c r="G682" s="24"/>
      <c r="H682" s="24"/>
      <c r="I682" s="24"/>
      <c r="J682" s="24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24"/>
      <c r="D683" s="24"/>
      <c r="E683" s="24"/>
      <c r="F683" s="24"/>
      <c r="G683" s="24"/>
      <c r="H683" s="24"/>
      <c r="I683" s="24"/>
      <c r="J683" s="24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24"/>
      <c r="D684" s="24"/>
      <c r="E684" s="24"/>
      <c r="F684" s="24"/>
      <c r="G684" s="24"/>
      <c r="H684" s="24"/>
      <c r="I684" s="24"/>
      <c r="J684" s="24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24"/>
      <c r="D685" s="24"/>
      <c r="E685" s="24"/>
      <c r="F685" s="24"/>
      <c r="G685" s="24"/>
      <c r="H685" s="24"/>
      <c r="I685" s="24"/>
      <c r="J685" s="24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24"/>
      <c r="D686" s="24"/>
      <c r="E686" s="24"/>
      <c r="F686" s="24"/>
      <c r="G686" s="24"/>
      <c r="H686" s="24"/>
      <c r="I686" s="24"/>
      <c r="J686" s="24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24"/>
      <c r="D687" s="24"/>
      <c r="E687" s="24"/>
      <c r="F687" s="24"/>
      <c r="G687" s="24"/>
      <c r="H687" s="24"/>
      <c r="I687" s="24"/>
      <c r="J687" s="24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24"/>
      <c r="D688" s="24"/>
      <c r="E688" s="24"/>
      <c r="F688" s="24"/>
      <c r="G688" s="24"/>
      <c r="H688" s="24"/>
      <c r="I688" s="24"/>
      <c r="J688" s="24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24"/>
      <c r="D689" s="24"/>
      <c r="E689" s="24"/>
      <c r="F689" s="24"/>
      <c r="G689" s="24"/>
      <c r="H689" s="24"/>
      <c r="I689" s="24"/>
      <c r="J689" s="24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24"/>
      <c r="D690" s="24"/>
      <c r="E690" s="24"/>
      <c r="F690" s="24"/>
      <c r="G690" s="24"/>
      <c r="H690" s="24"/>
      <c r="I690" s="24"/>
      <c r="J690" s="24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24"/>
      <c r="D691" s="24"/>
      <c r="E691" s="24"/>
      <c r="F691" s="24"/>
      <c r="G691" s="24"/>
      <c r="H691" s="24"/>
      <c r="I691" s="24"/>
      <c r="J691" s="24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24"/>
      <c r="D692" s="24"/>
      <c r="E692" s="24"/>
      <c r="F692" s="24"/>
      <c r="G692" s="24"/>
      <c r="H692" s="24"/>
      <c r="I692" s="24"/>
      <c r="J692" s="24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24"/>
      <c r="D693" s="24"/>
      <c r="E693" s="24"/>
      <c r="F693" s="24"/>
      <c r="G693" s="24"/>
      <c r="H693" s="24"/>
      <c r="I693" s="24"/>
      <c r="J693" s="24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24"/>
      <c r="D694" s="24"/>
      <c r="E694" s="24"/>
      <c r="F694" s="24"/>
      <c r="G694" s="24"/>
      <c r="H694" s="24"/>
      <c r="I694" s="24"/>
      <c r="J694" s="24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24"/>
      <c r="D695" s="24"/>
      <c r="E695" s="24"/>
      <c r="F695" s="24"/>
      <c r="G695" s="24"/>
      <c r="H695" s="24"/>
      <c r="I695" s="24"/>
      <c r="J695" s="24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24"/>
      <c r="D696" s="24"/>
      <c r="E696" s="24"/>
      <c r="F696" s="24"/>
      <c r="G696" s="24"/>
      <c r="H696" s="24"/>
      <c r="I696" s="24"/>
      <c r="J696" s="24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24"/>
      <c r="D697" s="24"/>
      <c r="E697" s="24"/>
      <c r="F697" s="24"/>
      <c r="G697" s="24"/>
      <c r="H697" s="24"/>
      <c r="I697" s="24"/>
      <c r="J697" s="24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24"/>
      <c r="D698" s="24"/>
      <c r="E698" s="24"/>
      <c r="F698" s="24"/>
      <c r="G698" s="24"/>
      <c r="H698" s="24"/>
      <c r="I698" s="24"/>
      <c r="J698" s="24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24"/>
      <c r="D699" s="24"/>
      <c r="E699" s="24"/>
      <c r="F699" s="24"/>
      <c r="G699" s="24"/>
      <c r="H699" s="24"/>
      <c r="I699" s="24"/>
      <c r="J699" s="24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24"/>
      <c r="D700" s="24"/>
      <c r="E700" s="24"/>
      <c r="F700" s="24"/>
      <c r="G700" s="24"/>
      <c r="H700" s="24"/>
      <c r="I700" s="24"/>
      <c r="J700" s="24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24"/>
      <c r="D701" s="24"/>
      <c r="E701" s="24"/>
      <c r="F701" s="24"/>
      <c r="G701" s="24"/>
      <c r="H701" s="24"/>
      <c r="I701" s="24"/>
      <c r="J701" s="24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24"/>
      <c r="D702" s="24"/>
      <c r="E702" s="24"/>
      <c r="F702" s="24"/>
      <c r="G702" s="24"/>
      <c r="H702" s="24"/>
      <c r="I702" s="24"/>
      <c r="J702" s="24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24"/>
      <c r="D703" s="24"/>
      <c r="E703" s="24"/>
      <c r="F703" s="24"/>
      <c r="G703" s="24"/>
      <c r="H703" s="24"/>
      <c r="I703" s="24"/>
      <c r="J703" s="24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24"/>
      <c r="D704" s="24"/>
      <c r="E704" s="24"/>
      <c r="F704" s="24"/>
      <c r="G704" s="24"/>
      <c r="H704" s="24"/>
      <c r="I704" s="24"/>
      <c r="J704" s="24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24"/>
      <c r="D705" s="24"/>
      <c r="E705" s="24"/>
      <c r="F705" s="24"/>
      <c r="G705" s="24"/>
      <c r="H705" s="24"/>
      <c r="I705" s="24"/>
      <c r="J705" s="24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24"/>
      <c r="D706" s="24"/>
      <c r="E706" s="24"/>
      <c r="F706" s="24"/>
      <c r="G706" s="24"/>
      <c r="H706" s="24"/>
      <c r="I706" s="24"/>
      <c r="J706" s="24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24"/>
      <c r="D707" s="24"/>
      <c r="E707" s="24"/>
      <c r="F707" s="24"/>
      <c r="G707" s="24"/>
      <c r="H707" s="24"/>
      <c r="I707" s="24"/>
      <c r="J707" s="24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24"/>
      <c r="D708" s="24"/>
      <c r="E708" s="24"/>
      <c r="F708" s="24"/>
      <c r="G708" s="24"/>
      <c r="H708" s="24"/>
      <c r="I708" s="24"/>
      <c r="J708" s="24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24"/>
      <c r="D709" s="24"/>
      <c r="E709" s="24"/>
      <c r="F709" s="24"/>
      <c r="G709" s="24"/>
      <c r="H709" s="24"/>
      <c r="I709" s="24"/>
      <c r="J709" s="24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24"/>
      <c r="D710" s="24"/>
      <c r="E710" s="24"/>
      <c r="F710" s="24"/>
      <c r="G710" s="24"/>
      <c r="H710" s="24"/>
      <c r="I710" s="24"/>
      <c r="J710" s="24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24"/>
      <c r="D711" s="24"/>
      <c r="E711" s="24"/>
      <c r="F711" s="24"/>
      <c r="G711" s="24"/>
      <c r="H711" s="24"/>
      <c r="I711" s="24"/>
      <c r="J711" s="24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24"/>
      <c r="D712" s="24"/>
      <c r="E712" s="24"/>
      <c r="F712" s="24"/>
      <c r="G712" s="24"/>
      <c r="H712" s="24"/>
      <c r="I712" s="24"/>
      <c r="J712" s="24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24"/>
      <c r="D713" s="24"/>
      <c r="E713" s="24"/>
      <c r="F713" s="24"/>
      <c r="G713" s="24"/>
      <c r="H713" s="24"/>
      <c r="I713" s="24"/>
      <c r="J713" s="24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24"/>
      <c r="D714" s="24"/>
      <c r="E714" s="24"/>
      <c r="F714" s="24"/>
      <c r="G714" s="24"/>
      <c r="H714" s="24"/>
      <c r="I714" s="24"/>
      <c r="J714" s="24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24"/>
      <c r="D715" s="24"/>
      <c r="E715" s="24"/>
      <c r="F715" s="24"/>
      <c r="G715" s="24"/>
      <c r="H715" s="24"/>
      <c r="I715" s="24"/>
      <c r="J715" s="24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24"/>
      <c r="D716" s="24"/>
      <c r="E716" s="24"/>
      <c r="F716" s="24"/>
      <c r="G716" s="24"/>
      <c r="H716" s="24"/>
      <c r="I716" s="24"/>
      <c r="J716" s="24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24"/>
      <c r="D717" s="24"/>
      <c r="E717" s="24"/>
      <c r="F717" s="24"/>
      <c r="G717" s="24"/>
      <c r="H717" s="24"/>
      <c r="I717" s="24"/>
      <c r="J717" s="24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24"/>
      <c r="D718" s="24"/>
      <c r="E718" s="24"/>
      <c r="F718" s="24"/>
      <c r="G718" s="24"/>
      <c r="H718" s="24"/>
      <c r="I718" s="24"/>
      <c r="J718" s="24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24"/>
      <c r="D719" s="24"/>
      <c r="E719" s="24"/>
      <c r="F719" s="24"/>
      <c r="G719" s="24"/>
      <c r="H719" s="24"/>
      <c r="I719" s="24"/>
      <c r="J719" s="24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24"/>
      <c r="D720" s="24"/>
      <c r="E720" s="24"/>
      <c r="F720" s="24"/>
      <c r="G720" s="24"/>
      <c r="H720" s="24"/>
      <c r="I720" s="24"/>
      <c r="J720" s="24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24"/>
      <c r="D721" s="24"/>
      <c r="E721" s="24"/>
      <c r="F721" s="24"/>
      <c r="G721" s="24"/>
      <c r="H721" s="24"/>
      <c r="I721" s="24"/>
      <c r="J721" s="24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24"/>
      <c r="D722" s="24"/>
      <c r="E722" s="24"/>
      <c r="F722" s="24"/>
      <c r="G722" s="24"/>
      <c r="H722" s="24"/>
      <c r="I722" s="24"/>
      <c r="J722" s="24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24"/>
      <c r="D723" s="24"/>
      <c r="E723" s="24"/>
      <c r="F723" s="24"/>
      <c r="G723" s="24"/>
      <c r="H723" s="24"/>
      <c r="I723" s="24"/>
      <c r="J723" s="24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24"/>
      <c r="D724" s="24"/>
      <c r="E724" s="24"/>
      <c r="F724" s="24"/>
      <c r="G724" s="24"/>
      <c r="H724" s="24"/>
      <c r="I724" s="24"/>
      <c r="J724" s="24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24"/>
      <c r="D725" s="24"/>
      <c r="E725" s="24"/>
      <c r="F725" s="24"/>
      <c r="G725" s="24"/>
      <c r="H725" s="24"/>
      <c r="I725" s="24"/>
      <c r="J725" s="24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24"/>
      <c r="D726" s="24"/>
      <c r="E726" s="24"/>
      <c r="F726" s="24"/>
      <c r="G726" s="24"/>
      <c r="H726" s="24"/>
      <c r="I726" s="24"/>
      <c r="J726" s="24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24"/>
      <c r="D727" s="24"/>
      <c r="E727" s="24"/>
      <c r="F727" s="24"/>
      <c r="G727" s="24"/>
      <c r="H727" s="24"/>
      <c r="I727" s="24"/>
      <c r="J727" s="24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24"/>
      <c r="D728" s="24"/>
      <c r="E728" s="24"/>
      <c r="F728" s="24"/>
      <c r="G728" s="24"/>
      <c r="H728" s="24"/>
      <c r="I728" s="24"/>
      <c r="J728" s="24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24"/>
      <c r="D729" s="24"/>
      <c r="E729" s="24"/>
      <c r="F729" s="24"/>
      <c r="G729" s="24"/>
      <c r="H729" s="24"/>
      <c r="I729" s="24"/>
      <c r="J729" s="24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24"/>
      <c r="D730" s="24"/>
      <c r="E730" s="24"/>
      <c r="F730" s="24"/>
      <c r="G730" s="24"/>
      <c r="H730" s="24"/>
      <c r="I730" s="24"/>
      <c r="J730" s="24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24"/>
      <c r="D731" s="24"/>
      <c r="E731" s="24"/>
      <c r="F731" s="24"/>
      <c r="G731" s="24"/>
      <c r="H731" s="24"/>
      <c r="I731" s="24"/>
      <c r="J731" s="24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24"/>
      <c r="D732" s="24"/>
      <c r="E732" s="24"/>
      <c r="F732" s="24"/>
      <c r="G732" s="24"/>
      <c r="H732" s="24"/>
      <c r="I732" s="24"/>
      <c r="J732" s="24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24"/>
      <c r="D733" s="24"/>
      <c r="E733" s="24"/>
      <c r="F733" s="24"/>
      <c r="G733" s="24"/>
      <c r="H733" s="24"/>
      <c r="I733" s="24"/>
      <c r="J733" s="24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24"/>
      <c r="D734" s="24"/>
      <c r="E734" s="24"/>
      <c r="F734" s="24"/>
      <c r="G734" s="24"/>
      <c r="H734" s="24"/>
      <c r="I734" s="24"/>
      <c r="J734" s="24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24"/>
      <c r="D735" s="24"/>
      <c r="E735" s="24"/>
      <c r="F735" s="24"/>
      <c r="G735" s="24"/>
      <c r="H735" s="24"/>
      <c r="I735" s="24"/>
      <c r="J735" s="24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24"/>
      <c r="D736" s="24"/>
      <c r="E736" s="24"/>
      <c r="F736" s="24"/>
      <c r="G736" s="24"/>
      <c r="H736" s="24"/>
      <c r="I736" s="24"/>
      <c r="J736" s="24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24"/>
      <c r="D737" s="24"/>
      <c r="E737" s="24"/>
      <c r="F737" s="24"/>
      <c r="G737" s="24"/>
      <c r="H737" s="24"/>
      <c r="I737" s="24"/>
      <c r="J737" s="24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24"/>
      <c r="D738" s="24"/>
      <c r="E738" s="24"/>
      <c r="F738" s="24"/>
      <c r="G738" s="24"/>
      <c r="H738" s="24"/>
      <c r="I738" s="24"/>
      <c r="J738" s="24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24"/>
      <c r="D739" s="24"/>
      <c r="E739" s="24"/>
      <c r="F739" s="24"/>
      <c r="G739" s="24"/>
      <c r="H739" s="24"/>
      <c r="I739" s="24"/>
      <c r="J739" s="24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24"/>
      <c r="D740" s="24"/>
      <c r="E740" s="24"/>
      <c r="F740" s="24"/>
      <c r="G740" s="24"/>
      <c r="H740" s="24"/>
      <c r="I740" s="24"/>
      <c r="J740" s="24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24"/>
      <c r="D741" s="24"/>
      <c r="E741" s="24"/>
      <c r="F741" s="24"/>
      <c r="G741" s="24"/>
      <c r="H741" s="24"/>
      <c r="I741" s="24"/>
      <c r="J741" s="24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24"/>
      <c r="D742" s="24"/>
      <c r="E742" s="24"/>
      <c r="F742" s="24"/>
      <c r="G742" s="24"/>
      <c r="H742" s="24"/>
      <c r="I742" s="24"/>
      <c r="J742" s="24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24"/>
      <c r="D743" s="24"/>
      <c r="E743" s="24"/>
      <c r="F743" s="24"/>
      <c r="G743" s="24"/>
      <c r="H743" s="24"/>
      <c r="I743" s="24"/>
      <c r="J743" s="24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24"/>
      <c r="D744" s="24"/>
      <c r="E744" s="24"/>
      <c r="F744" s="24"/>
      <c r="G744" s="24"/>
      <c r="H744" s="24"/>
      <c r="I744" s="24"/>
      <c r="J744" s="24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24"/>
      <c r="D745" s="24"/>
      <c r="E745" s="24"/>
      <c r="F745" s="24"/>
      <c r="G745" s="24"/>
      <c r="H745" s="24"/>
      <c r="I745" s="24"/>
      <c r="J745" s="24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24"/>
      <c r="D746" s="24"/>
      <c r="E746" s="24"/>
      <c r="F746" s="24"/>
      <c r="G746" s="24"/>
      <c r="H746" s="24"/>
      <c r="I746" s="24"/>
      <c r="J746" s="24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24"/>
      <c r="D747" s="24"/>
      <c r="E747" s="24"/>
      <c r="F747" s="24"/>
      <c r="G747" s="24"/>
      <c r="H747" s="24"/>
      <c r="I747" s="24"/>
      <c r="J747" s="24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24"/>
      <c r="D748" s="24"/>
      <c r="E748" s="24"/>
      <c r="F748" s="24"/>
      <c r="G748" s="24"/>
      <c r="H748" s="24"/>
      <c r="I748" s="24"/>
      <c r="J748" s="24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24"/>
      <c r="D749" s="24"/>
      <c r="E749" s="24"/>
      <c r="F749" s="24"/>
      <c r="G749" s="24"/>
      <c r="H749" s="24"/>
      <c r="I749" s="24"/>
      <c r="J749" s="24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24"/>
      <c r="D750" s="24"/>
      <c r="E750" s="24"/>
      <c r="F750" s="24"/>
      <c r="G750" s="24"/>
      <c r="H750" s="24"/>
      <c r="I750" s="24"/>
      <c r="J750" s="24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24"/>
      <c r="D751" s="24"/>
      <c r="E751" s="24"/>
      <c r="F751" s="24"/>
      <c r="G751" s="24"/>
      <c r="H751" s="24"/>
      <c r="I751" s="24"/>
      <c r="J751" s="24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24"/>
      <c r="D752" s="24"/>
      <c r="E752" s="24"/>
      <c r="F752" s="24"/>
      <c r="G752" s="24"/>
      <c r="H752" s="24"/>
      <c r="I752" s="24"/>
      <c r="J752" s="24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24"/>
      <c r="D753" s="24"/>
      <c r="E753" s="24"/>
      <c r="F753" s="24"/>
      <c r="G753" s="24"/>
      <c r="H753" s="24"/>
      <c r="I753" s="24"/>
      <c r="J753" s="24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24"/>
      <c r="D754" s="24"/>
      <c r="E754" s="24"/>
      <c r="F754" s="24"/>
      <c r="G754" s="24"/>
      <c r="H754" s="24"/>
      <c r="I754" s="24"/>
      <c r="J754" s="24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24"/>
      <c r="D755" s="24"/>
      <c r="E755" s="24"/>
      <c r="F755" s="24"/>
      <c r="G755" s="24"/>
      <c r="H755" s="24"/>
      <c r="I755" s="24"/>
      <c r="J755" s="24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24"/>
      <c r="D756" s="24"/>
      <c r="E756" s="24"/>
      <c r="F756" s="24"/>
      <c r="G756" s="24"/>
      <c r="H756" s="24"/>
      <c r="I756" s="24"/>
      <c r="J756" s="24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24"/>
      <c r="D757" s="24"/>
      <c r="E757" s="24"/>
      <c r="F757" s="24"/>
      <c r="G757" s="24"/>
      <c r="H757" s="24"/>
      <c r="I757" s="24"/>
      <c r="J757" s="24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24"/>
      <c r="D758" s="24"/>
      <c r="E758" s="24"/>
      <c r="F758" s="24"/>
      <c r="G758" s="24"/>
      <c r="H758" s="24"/>
      <c r="I758" s="24"/>
      <c r="J758" s="24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24"/>
      <c r="D759" s="24"/>
      <c r="E759" s="24"/>
      <c r="F759" s="24"/>
      <c r="G759" s="24"/>
      <c r="H759" s="24"/>
      <c r="I759" s="24"/>
      <c r="J759" s="24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24"/>
      <c r="D760" s="24"/>
      <c r="E760" s="24"/>
      <c r="F760" s="24"/>
      <c r="G760" s="24"/>
      <c r="H760" s="24"/>
      <c r="I760" s="24"/>
      <c r="J760" s="24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24"/>
      <c r="D761" s="24"/>
      <c r="E761" s="24"/>
      <c r="F761" s="24"/>
      <c r="G761" s="24"/>
      <c r="H761" s="24"/>
      <c r="I761" s="24"/>
      <c r="J761" s="24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24"/>
      <c r="D762" s="24"/>
      <c r="E762" s="24"/>
      <c r="F762" s="24"/>
      <c r="G762" s="24"/>
      <c r="H762" s="24"/>
      <c r="I762" s="24"/>
      <c r="J762" s="24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24"/>
      <c r="D763" s="24"/>
      <c r="E763" s="24"/>
      <c r="F763" s="24"/>
      <c r="G763" s="24"/>
      <c r="H763" s="24"/>
      <c r="I763" s="24"/>
      <c r="J763" s="24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24"/>
      <c r="D764" s="24"/>
      <c r="E764" s="24"/>
      <c r="F764" s="24"/>
      <c r="G764" s="24"/>
      <c r="H764" s="24"/>
      <c r="I764" s="24"/>
      <c r="J764" s="24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24"/>
      <c r="D765" s="24"/>
      <c r="E765" s="24"/>
      <c r="F765" s="24"/>
      <c r="G765" s="24"/>
      <c r="H765" s="24"/>
      <c r="I765" s="24"/>
      <c r="J765" s="24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24"/>
      <c r="D766" s="24"/>
      <c r="E766" s="24"/>
      <c r="F766" s="24"/>
      <c r="G766" s="24"/>
      <c r="H766" s="24"/>
      <c r="I766" s="24"/>
      <c r="J766" s="24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24"/>
      <c r="D767" s="24"/>
      <c r="E767" s="24"/>
      <c r="F767" s="24"/>
      <c r="G767" s="24"/>
      <c r="H767" s="24"/>
      <c r="I767" s="24"/>
      <c r="J767" s="24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24"/>
      <c r="D768" s="24"/>
      <c r="E768" s="24"/>
      <c r="F768" s="24"/>
      <c r="G768" s="24"/>
      <c r="H768" s="24"/>
      <c r="I768" s="24"/>
      <c r="J768" s="24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24"/>
      <c r="D769" s="24"/>
      <c r="E769" s="24"/>
      <c r="F769" s="24"/>
      <c r="G769" s="24"/>
      <c r="H769" s="24"/>
      <c r="I769" s="24"/>
      <c r="J769" s="24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24"/>
      <c r="D770" s="24"/>
      <c r="E770" s="24"/>
      <c r="F770" s="24"/>
      <c r="G770" s="24"/>
      <c r="H770" s="24"/>
      <c r="I770" s="24"/>
      <c r="J770" s="24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24"/>
      <c r="D771" s="24"/>
      <c r="E771" s="24"/>
      <c r="F771" s="24"/>
      <c r="G771" s="24"/>
      <c r="H771" s="24"/>
      <c r="I771" s="24"/>
      <c r="J771" s="24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24"/>
      <c r="D772" s="24"/>
      <c r="E772" s="24"/>
      <c r="F772" s="24"/>
      <c r="G772" s="24"/>
      <c r="H772" s="24"/>
      <c r="I772" s="24"/>
      <c r="J772" s="24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24"/>
      <c r="D773" s="24"/>
      <c r="E773" s="24"/>
      <c r="F773" s="24"/>
      <c r="G773" s="24"/>
      <c r="H773" s="24"/>
      <c r="I773" s="24"/>
      <c r="J773" s="24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24"/>
      <c r="D774" s="24"/>
      <c r="E774" s="24"/>
      <c r="F774" s="24"/>
      <c r="G774" s="24"/>
      <c r="H774" s="24"/>
      <c r="I774" s="24"/>
      <c r="J774" s="24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24"/>
      <c r="D775" s="24"/>
      <c r="E775" s="24"/>
      <c r="F775" s="24"/>
      <c r="G775" s="24"/>
      <c r="H775" s="24"/>
      <c r="I775" s="24"/>
      <c r="J775" s="24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24"/>
      <c r="D776" s="24"/>
      <c r="E776" s="24"/>
      <c r="F776" s="24"/>
      <c r="G776" s="24"/>
      <c r="H776" s="24"/>
      <c r="I776" s="24"/>
      <c r="J776" s="24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24"/>
      <c r="D777" s="24"/>
      <c r="E777" s="24"/>
      <c r="F777" s="24"/>
      <c r="G777" s="24"/>
      <c r="H777" s="24"/>
      <c r="I777" s="24"/>
      <c r="J777" s="24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24"/>
      <c r="D778" s="24"/>
      <c r="E778" s="24"/>
      <c r="F778" s="24"/>
      <c r="G778" s="24"/>
      <c r="H778" s="24"/>
      <c r="I778" s="24"/>
      <c r="J778" s="24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24"/>
      <c r="D779" s="24"/>
      <c r="E779" s="24"/>
      <c r="F779" s="24"/>
      <c r="G779" s="24"/>
      <c r="H779" s="24"/>
      <c r="I779" s="24"/>
      <c r="J779" s="24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24"/>
      <c r="D780" s="24"/>
      <c r="E780" s="24"/>
      <c r="F780" s="24"/>
      <c r="G780" s="24"/>
      <c r="H780" s="24"/>
      <c r="I780" s="24"/>
      <c r="J780" s="24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24"/>
      <c r="D781" s="24"/>
      <c r="E781" s="24"/>
      <c r="F781" s="24"/>
      <c r="G781" s="24"/>
      <c r="H781" s="24"/>
      <c r="I781" s="24"/>
      <c r="J781" s="24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24"/>
      <c r="D782" s="24"/>
      <c r="E782" s="24"/>
      <c r="F782" s="24"/>
      <c r="G782" s="24"/>
      <c r="H782" s="24"/>
      <c r="I782" s="24"/>
      <c r="J782" s="24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24"/>
      <c r="D783" s="24"/>
      <c r="E783" s="24"/>
      <c r="F783" s="24"/>
      <c r="G783" s="24"/>
      <c r="H783" s="24"/>
      <c r="I783" s="24"/>
      <c r="J783" s="24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24"/>
      <c r="D784" s="24"/>
      <c r="E784" s="24"/>
      <c r="F784" s="24"/>
      <c r="G784" s="24"/>
      <c r="H784" s="24"/>
      <c r="I784" s="24"/>
      <c r="J784" s="24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24"/>
      <c r="D785" s="24"/>
      <c r="E785" s="24"/>
      <c r="F785" s="24"/>
      <c r="G785" s="24"/>
      <c r="H785" s="24"/>
      <c r="I785" s="24"/>
      <c r="J785" s="24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24"/>
      <c r="D786" s="24"/>
      <c r="E786" s="24"/>
      <c r="F786" s="24"/>
      <c r="G786" s="24"/>
      <c r="H786" s="24"/>
      <c r="I786" s="24"/>
      <c r="J786" s="24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24"/>
      <c r="D787" s="24"/>
      <c r="E787" s="24"/>
      <c r="F787" s="24"/>
      <c r="G787" s="24"/>
      <c r="H787" s="24"/>
      <c r="I787" s="24"/>
      <c r="J787" s="24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24"/>
      <c r="D788" s="24"/>
      <c r="E788" s="24"/>
      <c r="F788" s="24"/>
      <c r="G788" s="24"/>
      <c r="H788" s="24"/>
      <c r="I788" s="24"/>
      <c r="J788" s="24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24"/>
      <c r="D789" s="24"/>
      <c r="E789" s="24"/>
      <c r="F789" s="24"/>
      <c r="G789" s="24"/>
      <c r="H789" s="24"/>
      <c r="I789" s="24"/>
      <c r="J789" s="24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24"/>
      <c r="D790" s="24"/>
      <c r="E790" s="24"/>
      <c r="F790" s="24"/>
      <c r="G790" s="24"/>
      <c r="H790" s="24"/>
      <c r="I790" s="24"/>
      <c r="J790" s="24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24"/>
      <c r="D791" s="24"/>
      <c r="E791" s="24"/>
      <c r="F791" s="24"/>
      <c r="G791" s="24"/>
      <c r="H791" s="24"/>
      <c r="I791" s="24"/>
      <c r="J791" s="24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24"/>
      <c r="D792" s="24"/>
      <c r="E792" s="24"/>
      <c r="F792" s="24"/>
      <c r="G792" s="24"/>
      <c r="H792" s="24"/>
      <c r="I792" s="24"/>
      <c r="J792" s="24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24"/>
      <c r="D793" s="24"/>
      <c r="E793" s="24"/>
      <c r="F793" s="24"/>
      <c r="G793" s="24"/>
      <c r="H793" s="24"/>
      <c r="I793" s="24"/>
      <c r="J793" s="24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24"/>
      <c r="D794" s="24"/>
      <c r="E794" s="24"/>
      <c r="F794" s="24"/>
      <c r="G794" s="24"/>
      <c r="H794" s="24"/>
      <c r="I794" s="24"/>
      <c r="J794" s="24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24"/>
      <c r="D795" s="24"/>
      <c r="E795" s="24"/>
      <c r="F795" s="24"/>
      <c r="G795" s="24"/>
      <c r="H795" s="24"/>
      <c r="I795" s="24"/>
      <c r="J795" s="24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24"/>
      <c r="D796" s="24"/>
      <c r="E796" s="24"/>
      <c r="F796" s="24"/>
      <c r="G796" s="24"/>
      <c r="H796" s="24"/>
      <c r="I796" s="24"/>
      <c r="J796" s="24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24"/>
      <c r="D797" s="24"/>
      <c r="E797" s="24"/>
      <c r="F797" s="24"/>
      <c r="G797" s="24"/>
      <c r="H797" s="24"/>
      <c r="I797" s="24"/>
      <c r="J797" s="24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24"/>
      <c r="D798" s="24"/>
      <c r="E798" s="24"/>
      <c r="F798" s="24"/>
      <c r="G798" s="24"/>
      <c r="H798" s="24"/>
      <c r="I798" s="24"/>
      <c r="J798" s="24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24"/>
      <c r="D799" s="24"/>
      <c r="E799" s="24"/>
      <c r="F799" s="24"/>
      <c r="G799" s="24"/>
      <c r="H799" s="24"/>
      <c r="I799" s="24"/>
      <c r="J799" s="24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24"/>
      <c r="D800" s="24"/>
      <c r="E800" s="24"/>
      <c r="F800" s="24"/>
      <c r="G800" s="24"/>
      <c r="H800" s="24"/>
      <c r="I800" s="24"/>
      <c r="J800" s="24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24"/>
      <c r="D801" s="24"/>
      <c r="E801" s="24"/>
      <c r="F801" s="24"/>
      <c r="G801" s="24"/>
      <c r="H801" s="24"/>
      <c r="I801" s="24"/>
      <c r="J801" s="24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24"/>
      <c r="D802" s="24"/>
      <c r="E802" s="24"/>
      <c r="F802" s="24"/>
      <c r="G802" s="24"/>
      <c r="H802" s="24"/>
      <c r="I802" s="24"/>
      <c r="J802" s="24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24"/>
      <c r="D803" s="24"/>
      <c r="E803" s="24"/>
      <c r="F803" s="24"/>
      <c r="G803" s="24"/>
      <c r="H803" s="24"/>
      <c r="I803" s="24"/>
      <c r="J803" s="24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24"/>
      <c r="D804" s="24"/>
      <c r="E804" s="24"/>
      <c r="F804" s="24"/>
      <c r="G804" s="24"/>
      <c r="H804" s="24"/>
      <c r="I804" s="24"/>
      <c r="J804" s="24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24"/>
      <c r="D805" s="24"/>
      <c r="E805" s="24"/>
      <c r="F805" s="24"/>
      <c r="G805" s="24"/>
      <c r="H805" s="24"/>
      <c r="I805" s="24"/>
      <c r="J805" s="24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24"/>
      <c r="D806" s="24"/>
      <c r="E806" s="24"/>
      <c r="F806" s="24"/>
      <c r="G806" s="24"/>
      <c r="H806" s="24"/>
      <c r="I806" s="24"/>
      <c r="J806" s="24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24"/>
      <c r="D807" s="24"/>
      <c r="E807" s="24"/>
      <c r="F807" s="24"/>
      <c r="G807" s="24"/>
      <c r="H807" s="24"/>
      <c r="I807" s="24"/>
      <c r="J807" s="24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24"/>
      <c r="D808" s="24"/>
      <c r="E808" s="24"/>
      <c r="F808" s="24"/>
      <c r="G808" s="24"/>
      <c r="H808" s="24"/>
      <c r="I808" s="24"/>
      <c r="J808" s="24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24"/>
      <c r="D809" s="24"/>
      <c r="E809" s="24"/>
      <c r="F809" s="24"/>
      <c r="G809" s="24"/>
      <c r="H809" s="24"/>
      <c r="I809" s="24"/>
      <c r="J809" s="24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24"/>
      <c r="D810" s="24"/>
      <c r="E810" s="24"/>
      <c r="F810" s="24"/>
      <c r="G810" s="24"/>
      <c r="H810" s="24"/>
      <c r="I810" s="24"/>
      <c r="J810" s="24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24"/>
      <c r="D811" s="24"/>
      <c r="E811" s="24"/>
      <c r="F811" s="24"/>
      <c r="G811" s="24"/>
      <c r="H811" s="24"/>
      <c r="I811" s="24"/>
      <c r="J811" s="24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24"/>
      <c r="D812" s="24"/>
      <c r="E812" s="24"/>
      <c r="F812" s="24"/>
      <c r="G812" s="24"/>
      <c r="H812" s="24"/>
      <c r="I812" s="24"/>
      <c r="J812" s="24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24"/>
      <c r="D813" s="24"/>
      <c r="E813" s="24"/>
      <c r="F813" s="24"/>
      <c r="G813" s="24"/>
      <c r="H813" s="24"/>
      <c r="I813" s="24"/>
      <c r="J813" s="24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24"/>
      <c r="D814" s="24"/>
      <c r="E814" s="24"/>
      <c r="F814" s="24"/>
      <c r="G814" s="24"/>
      <c r="H814" s="24"/>
      <c r="I814" s="24"/>
      <c r="J814" s="24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24"/>
      <c r="D815" s="24"/>
      <c r="E815" s="24"/>
      <c r="F815" s="24"/>
      <c r="G815" s="24"/>
      <c r="H815" s="24"/>
      <c r="I815" s="24"/>
      <c r="J815" s="24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24"/>
      <c r="D816" s="24"/>
      <c r="E816" s="24"/>
      <c r="F816" s="24"/>
      <c r="G816" s="24"/>
      <c r="H816" s="24"/>
      <c r="I816" s="24"/>
      <c r="J816" s="24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24"/>
      <c r="D817" s="24"/>
      <c r="E817" s="24"/>
      <c r="F817" s="24"/>
      <c r="G817" s="24"/>
      <c r="H817" s="24"/>
      <c r="I817" s="24"/>
      <c r="J817" s="24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24"/>
      <c r="D818" s="24"/>
      <c r="E818" s="24"/>
      <c r="F818" s="24"/>
      <c r="G818" s="24"/>
      <c r="H818" s="24"/>
      <c r="I818" s="24"/>
      <c r="J818" s="24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24"/>
      <c r="D819" s="24"/>
      <c r="E819" s="24"/>
      <c r="F819" s="24"/>
      <c r="G819" s="24"/>
      <c r="H819" s="24"/>
      <c r="I819" s="24"/>
      <c r="J819" s="24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24"/>
      <c r="D820" s="24"/>
      <c r="E820" s="24"/>
      <c r="F820" s="24"/>
      <c r="G820" s="24"/>
      <c r="H820" s="24"/>
      <c r="I820" s="24"/>
      <c r="J820" s="24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24"/>
      <c r="D821" s="24"/>
      <c r="E821" s="24"/>
      <c r="F821" s="24"/>
      <c r="G821" s="24"/>
      <c r="H821" s="24"/>
      <c r="I821" s="24"/>
      <c r="J821" s="24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24"/>
      <c r="D822" s="24"/>
      <c r="E822" s="24"/>
      <c r="F822" s="24"/>
      <c r="G822" s="24"/>
      <c r="H822" s="24"/>
      <c r="I822" s="24"/>
      <c r="J822" s="24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24"/>
      <c r="D823" s="24"/>
      <c r="E823" s="24"/>
      <c r="F823" s="24"/>
      <c r="G823" s="24"/>
      <c r="H823" s="24"/>
      <c r="I823" s="24"/>
      <c r="J823" s="24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24"/>
      <c r="D824" s="24"/>
      <c r="E824" s="24"/>
      <c r="F824" s="24"/>
      <c r="G824" s="24"/>
      <c r="H824" s="24"/>
      <c r="I824" s="24"/>
      <c r="J824" s="24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24"/>
      <c r="D825" s="24"/>
      <c r="E825" s="24"/>
      <c r="F825" s="24"/>
      <c r="G825" s="24"/>
      <c r="H825" s="24"/>
      <c r="I825" s="24"/>
      <c r="J825" s="24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24"/>
      <c r="D826" s="24"/>
      <c r="E826" s="24"/>
      <c r="F826" s="24"/>
      <c r="G826" s="24"/>
      <c r="H826" s="24"/>
      <c r="I826" s="24"/>
      <c r="J826" s="24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24"/>
      <c r="D827" s="24"/>
      <c r="E827" s="24"/>
      <c r="F827" s="24"/>
      <c r="G827" s="24"/>
      <c r="H827" s="24"/>
      <c r="I827" s="24"/>
      <c r="J827" s="24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24"/>
      <c r="D828" s="24"/>
      <c r="E828" s="24"/>
      <c r="F828" s="24"/>
      <c r="G828" s="24"/>
      <c r="H828" s="24"/>
      <c r="I828" s="24"/>
      <c r="J828" s="24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24"/>
      <c r="D829" s="24"/>
      <c r="E829" s="24"/>
      <c r="F829" s="24"/>
      <c r="G829" s="24"/>
      <c r="H829" s="24"/>
      <c r="I829" s="24"/>
      <c r="J829" s="24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24"/>
      <c r="D830" s="24"/>
      <c r="E830" s="24"/>
      <c r="F830" s="24"/>
      <c r="G830" s="24"/>
      <c r="H830" s="24"/>
      <c r="I830" s="24"/>
      <c r="J830" s="24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24"/>
      <c r="D831" s="24"/>
      <c r="E831" s="24"/>
      <c r="F831" s="24"/>
      <c r="G831" s="24"/>
      <c r="H831" s="24"/>
      <c r="I831" s="24"/>
      <c r="J831" s="24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24"/>
      <c r="D832" s="24"/>
      <c r="E832" s="24"/>
      <c r="F832" s="24"/>
      <c r="G832" s="24"/>
      <c r="H832" s="24"/>
      <c r="I832" s="24"/>
      <c r="J832" s="24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24"/>
      <c r="D833" s="24"/>
      <c r="E833" s="24"/>
      <c r="F833" s="24"/>
      <c r="G833" s="24"/>
      <c r="H833" s="24"/>
      <c r="I833" s="24"/>
      <c r="J833" s="24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24"/>
      <c r="D834" s="24"/>
      <c r="E834" s="24"/>
      <c r="F834" s="24"/>
      <c r="G834" s="24"/>
      <c r="H834" s="24"/>
      <c r="I834" s="24"/>
      <c r="J834" s="24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24"/>
      <c r="D835" s="24"/>
      <c r="E835" s="24"/>
      <c r="F835" s="24"/>
      <c r="G835" s="24"/>
      <c r="H835" s="24"/>
      <c r="I835" s="24"/>
      <c r="J835" s="24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24"/>
      <c r="D836" s="24"/>
      <c r="E836" s="24"/>
      <c r="F836" s="24"/>
      <c r="G836" s="24"/>
      <c r="H836" s="24"/>
      <c r="I836" s="24"/>
      <c r="J836" s="24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24"/>
      <c r="D837" s="24"/>
      <c r="E837" s="24"/>
      <c r="F837" s="24"/>
      <c r="G837" s="24"/>
      <c r="H837" s="24"/>
      <c r="I837" s="24"/>
      <c r="J837" s="24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24"/>
      <c r="D838" s="24"/>
      <c r="E838" s="24"/>
      <c r="F838" s="24"/>
      <c r="G838" s="24"/>
      <c r="H838" s="24"/>
      <c r="I838" s="24"/>
      <c r="J838" s="24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24"/>
      <c r="D839" s="24"/>
      <c r="E839" s="24"/>
      <c r="F839" s="24"/>
      <c r="G839" s="24"/>
      <c r="H839" s="24"/>
      <c r="I839" s="24"/>
      <c r="J839" s="24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24"/>
      <c r="D840" s="24"/>
      <c r="E840" s="24"/>
      <c r="F840" s="24"/>
      <c r="G840" s="24"/>
      <c r="H840" s="24"/>
      <c r="I840" s="24"/>
      <c r="J840" s="24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24"/>
      <c r="D841" s="24"/>
      <c r="E841" s="24"/>
      <c r="F841" s="24"/>
      <c r="G841" s="24"/>
      <c r="H841" s="24"/>
      <c r="I841" s="24"/>
      <c r="J841" s="24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24"/>
      <c r="D842" s="24"/>
      <c r="E842" s="24"/>
      <c r="F842" s="24"/>
      <c r="G842" s="24"/>
      <c r="H842" s="24"/>
      <c r="I842" s="24"/>
      <c r="J842" s="24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24"/>
      <c r="D843" s="24"/>
      <c r="E843" s="24"/>
      <c r="F843" s="24"/>
      <c r="G843" s="24"/>
      <c r="H843" s="24"/>
      <c r="I843" s="24"/>
      <c r="J843" s="24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24"/>
      <c r="D844" s="24"/>
      <c r="E844" s="24"/>
      <c r="F844" s="24"/>
      <c r="G844" s="24"/>
      <c r="H844" s="24"/>
      <c r="I844" s="24"/>
      <c r="J844" s="24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24"/>
      <c r="D845" s="24"/>
      <c r="E845" s="24"/>
      <c r="F845" s="24"/>
      <c r="G845" s="24"/>
      <c r="H845" s="24"/>
      <c r="I845" s="24"/>
      <c r="J845" s="24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24"/>
      <c r="D846" s="24"/>
      <c r="E846" s="24"/>
      <c r="F846" s="24"/>
      <c r="G846" s="24"/>
      <c r="H846" s="24"/>
      <c r="I846" s="24"/>
      <c r="J846" s="24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24"/>
      <c r="D847" s="24"/>
      <c r="E847" s="24"/>
      <c r="F847" s="24"/>
      <c r="G847" s="24"/>
      <c r="H847" s="24"/>
      <c r="I847" s="24"/>
      <c r="J847" s="24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24"/>
      <c r="D848" s="24"/>
      <c r="E848" s="24"/>
      <c r="F848" s="24"/>
      <c r="G848" s="24"/>
      <c r="H848" s="24"/>
      <c r="I848" s="24"/>
      <c r="J848" s="24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24"/>
      <c r="D849" s="24"/>
      <c r="E849" s="24"/>
      <c r="F849" s="24"/>
      <c r="G849" s="24"/>
      <c r="H849" s="24"/>
      <c r="I849" s="24"/>
      <c r="J849" s="24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24"/>
      <c r="D850" s="24"/>
      <c r="E850" s="24"/>
      <c r="F850" s="24"/>
      <c r="G850" s="24"/>
      <c r="H850" s="24"/>
      <c r="I850" s="24"/>
      <c r="J850" s="24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24"/>
      <c r="D851" s="24"/>
      <c r="E851" s="24"/>
      <c r="F851" s="24"/>
      <c r="G851" s="24"/>
      <c r="H851" s="24"/>
      <c r="I851" s="24"/>
      <c r="J851" s="24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24"/>
      <c r="D852" s="24"/>
      <c r="E852" s="24"/>
      <c r="F852" s="24"/>
      <c r="G852" s="24"/>
      <c r="H852" s="24"/>
      <c r="I852" s="24"/>
      <c r="J852" s="24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24"/>
      <c r="D853" s="24"/>
      <c r="E853" s="24"/>
      <c r="F853" s="24"/>
      <c r="G853" s="24"/>
      <c r="H853" s="24"/>
      <c r="I853" s="24"/>
      <c r="J853" s="24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24"/>
      <c r="D854" s="24"/>
      <c r="E854" s="24"/>
      <c r="F854" s="24"/>
      <c r="G854" s="24"/>
      <c r="H854" s="24"/>
      <c r="I854" s="24"/>
      <c r="J854" s="24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24"/>
      <c r="D855" s="24"/>
      <c r="E855" s="24"/>
      <c r="F855" s="24"/>
      <c r="G855" s="24"/>
      <c r="H855" s="24"/>
      <c r="I855" s="24"/>
      <c r="J855" s="24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24"/>
      <c r="D856" s="24"/>
      <c r="E856" s="24"/>
      <c r="F856" s="24"/>
      <c r="G856" s="24"/>
      <c r="H856" s="24"/>
      <c r="I856" s="24"/>
      <c r="J856" s="24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24"/>
      <c r="D857" s="24"/>
      <c r="E857" s="24"/>
      <c r="F857" s="24"/>
      <c r="G857" s="24"/>
      <c r="H857" s="24"/>
      <c r="I857" s="24"/>
      <c r="J857" s="24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24"/>
      <c r="D858" s="24"/>
      <c r="E858" s="24"/>
      <c r="F858" s="24"/>
      <c r="G858" s="24"/>
      <c r="H858" s="24"/>
      <c r="I858" s="24"/>
      <c r="J858" s="24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24"/>
      <c r="D859" s="24"/>
      <c r="E859" s="24"/>
      <c r="F859" s="24"/>
      <c r="G859" s="24"/>
      <c r="H859" s="24"/>
      <c r="I859" s="24"/>
      <c r="J859" s="24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24"/>
      <c r="D860" s="24"/>
      <c r="E860" s="24"/>
      <c r="F860" s="24"/>
      <c r="G860" s="24"/>
      <c r="H860" s="24"/>
      <c r="I860" s="24"/>
      <c r="J860" s="24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24"/>
      <c r="D861" s="24"/>
      <c r="E861" s="24"/>
      <c r="F861" s="24"/>
      <c r="G861" s="24"/>
      <c r="H861" s="24"/>
      <c r="I861" s="24"/>
      <c r="J861" s="24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24"/>
      <c r="D862" s="24"/>
      <c r="E862" s="24"/>
      <c r="F862" s="24"/>
      <c r="G862" s="24"/>
      <c r="H862" s="24"/>
      <c r="I862" s="24"/>
      <c r="J862" s="24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24"/>
      <c r="D863" s="24"/>
      <c r="E863" s="24"/>
      <c r="F863" s="24"/>
      <c r="G863" s="24"/>
      <c r="H863" s="24"/>
      <c r="I863" s="24"/>
      <c r="J863" s="24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24"/>
      <c r="D864" s="24"/>
      <c r="E864" s="24"/>
      <c r="F864" s="24"/>
      <c r="G864" s="24"/>
      <c r="H864" s="24"/>
      <c r="I864" s="24"/>
      <c r="J864" s="24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24"/>
      <c r="D865" s="24"/>
      <c r="E865" s="24"/>
      <c r="F865" s="24"/>
      <c r="G865" s="24"/>
      <c r="H865" s="24"/>
      <c r="I865" s="24"/>
      <c r="J865" s="24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24"/>
      <c r="D866" s="24"/>
      <c r="E866" s="24"/>
      <c r="F866" s="24"/>
      <c r="G866" s="24"/>
      <c r="H866" s="24"/>
      <c r="I866" s="24"/>
      <c r="J866" s="24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24"/>
      <c r="D867" s="24"/>
      <c r="E867" s="24"/>
      <c r="F867" s="24"/>
      <c r="G867" s="24"/>
      <c r="H867" s="24"/>
      <c r="I867" s="24"/>
      <c r="J867" s="24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24"/>
      <c r="D868" s="24"/>
      <c r="E868" s="24"/>
      <c r="F868" s="24"/>
      <c r="G868" s="24"/>
      <c r="H868" s="24"/>
      <c r="I868" s="24"/>
      <c r="J868" s="24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24"/>
      <c r="D869" s="24"/>
      <c r="E869" s="24"/>
      <c r="F869" s="24"/>
      <c r="G869" s="24"/>
      <c r="H869" s="24"/>
      <c r="I869" s="24"/>
      <c r="J869" s="24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24"/>
      <c r="D870" s="24"/>
      <c r="E870" s="24"/>
      <c r="F870" s="24"/>
      <c r="G870" s="24"/>
      <c r="H870" s="24"/>
      <c r="I870" s="24"/>
      <c r="J870" s="24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24"/>
      <c r="D871" s="24"/>
      <c r="E871" s="24"/>
      <c r="F871" s="24"/>
      <c r="G871" s="24"/>
      <c r="H871" s="24"/>
      <c r="I871" s="24"/>
      <c r="J871" s="24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24"/>
      <c r="D872" s="24"/>
      <c r="E872" s="24"/>
      <c r="F872" s="24"/>
      <c r="G872" s="24"/>
      <c r="H872" s="24"/>
      <c r="I872" s="24"/>
      <c r="J872" s="24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24"/>
      <c r="D873" s="24"/>
      <c r="E873" s="24"/>
      <c r="F873" s="24"/>
      <c r="G873" s="24"/>
      <c r="H873" s="24"/>
      <c r="I873" s="24"/>
      <c r="J873" s="24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24"/>
      <c r="D874" s="24"/>
      <c r="E874" s="24"/>
      <c r="F874" s="24"/>
      <c r="G874" s="24"/>
      <c r="H874" s="24"/>
      <c r="I874" s="24"/>
      <c r="J874" s="24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24"/>
      <c r="D875" s="24"/>
      <c r="E875" s="24"/>
      <c r="F875" s="24"/>
      <c r="G875" s="24"/>
      <c r="H875" s="24"/>
      <c r="I875" s="24"/>
      <c r="J875" s="24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24"/>
      <c r="D876" s="24"/>
      <c r="E876" s="24"/>
      <c r="F876" s="24"/>
      <c r="G876" s="24"/>
      <c r="H876" s="24"/>
      <c r="I876" s="24"/>
      <c r="J876" s="24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24"/>
      <c r="D877" s="24"/>
      <c r="E877" s="24"/>
      <c r="F877" s="24"/>
      <c r="G877" s="24"/>
      <c r="H877" s="24"/>
      <c r="I877" s="24"/>
      <c r="J877" s="24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24"/>
      <c r="D878" s="24"/>
      <c r="E878" s="24"/>
      <c r="F878" s="24"/>
      <c r="G878" s="24"/>
      <c r="H878" s="24"/>
      <c r="I878" s="24"/>
      <c r="J878" s="2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24"/>
      <c r="D879" s="24"/>
      <c r="E879" s="24"/>
      <c r="F879" s="24"/>
      <c r="G879" s="24"/>
      <c r="H879" s="24"/>
      <c r="I879" s="24"/>
      <c r="J879" s="24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24"/>
      <c r="D880" s="24"/>
      <c r="E880" s="24"/>
      <c r="F880" s="24"/>
      <c r="G880" s="24"/>
      <c r="H880" s="24"/>
      <c r="I880" s="24"/>
      <c r="J880" s="24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24"/>
      <c r="D881" s="24"/>
      <c r="E881" s="24"/>
      <c r="F881" s="24"/>
      <c r="G881" s="24"/>
      <c r="H881" s="24"/>
      <c r="I881" s="24"/>
      <c r="J881" s="24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24"/>
      <c r="D882" s="24"/>
      <c r="E882" s="24"/>
      <c r="F882" s="24"/>
      <c r="G882" s="24"/>
      <c r="H882" s="24"/>
      <c r="I882" s="24"/>
      <c r="J882" s="24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24"/>
      <c r="D883" s="24"/>
      <c r="E883" s="24"/>
      <c r="F883" s="24"/>
      <c r="G883" s="24"/>
      <c r="H883" s="24"/>
      <c r="I883" s="24"/>
      <c r="J883" s="24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24"/>
      <c r="D884" s="24"/>
      <c r="E884" s="24"/>
      <c r="F884" s="24"/>
      <c r="G884" s="24"/>
      <c r="H884" s="24"/>
      <c r="I884" s="24"/>
      <c r="J884" s="24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24"/>
      <c r="D885" s="24"/>
      <c r="E885" s="24"/>
      <c r="F885" s="24"/>
      <c r="G885" s="24"/>
      <c r="H885" s="24"/>
      <c r="I885" s="24"/>
      <c r="J885" s="24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24"/>
      <c r="D886" s="24"/>
      <c r="E886" s="24"/>
      <c r="F886" s="24"/>
      <c r="G886" s="24"/>
      <c r="H886" s="24"/>
      <c r="I886" s="24"/>
      <c r="J886" s="24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24"/>
      <c r="D887" s="24"/>
      <c r="E887" s="24"/>
      <c r="F887" s="24"/>
      <c r="G887" s="24"/>
      <c r="H887" s="24"/>
      <c r="I887" s="24"/>
      <c r="J887" s="24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24"/>
      <c r="D888" s="24"/>
      <c r="E888" s="24"/>
      <c r="F888" s="24"/>
      <c r="G888" s="24"/>
      <c r="H888" s="24"/>
      <c r="I888" s="24"/>
      <c r="J888" s="24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24"/>
      <c r="D889" s="24"/>
      <c r="E889" s="24"/>
      <c r="F889" s="24"/>
      <c r="G889" s="24"/>
      <c r="H889" s="24"/>
      <c r="I889" s="24"/>
      <c r="J889" s="24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24"/>
      <c r="D890" s="24"/>
      <c r="E890" s="24"/>
      <c r="F890" s="24"/>
      <c r="G890" s="24"/>
      <c r="H890" s="24"/>
      <c r="I890" s="24"/>
      <c r="J890" s="24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24"/>
      <c r="D891" s="24"/>
      <c r="E891" s="24"/>
      <c r="F891" s="24"/>
      <c r="G891" s="24"/>
      <c r="H891" s="24"/>
      <c r="I891" s="24"/>
      <c r="J891" s="24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24"/>
      <c r="D892" s="24"/>
      <c r="E892" s="24"/>
      <c r="F892" s="24"/>
      <c r="G892" s="24"/>
      <c r="H892" s="24"/>
      <c r="I892" s="24"/>
      <c r="J892" s="24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24"/>
      <c r="D893" s="24"/>
      <c r="E893" s="24"/>
      <c r="F893" s="24"/>
      <c r="G893" s="24"/>
      <c r="H893" s="24"/>
      <c r="I893" s="24"/>
      <c r="J893" s="24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24"/>
      <c r="D894" s="24"/>
      <c r="E894" s="24"/>
      <c r="F894" s="24"/>
      <c r="G894" s="24"/>
      <c r="H894" s="24"/>
      <c r="I894" s="24"/>
      <c r="J894" s="24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24"/>
      <c r="D895" s="24"/>
      <c r="E895" s="24"/>
      <c r="F895" s="24"/>
      <c r="G895" s="24"/>
      <c r="H895" s="24"/>
      <c r="I895" s="24"/>
      <c r="J895" s="24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24"/>
      <c r="D896" s="24"/>
      <c r="E896" s="24"/>
      <c r="F896" s="24"/>
      <c r="G896" s="24"/>
      <c r="H896" s="24"/>
      <c r="I896" s="24"/>
      <c r="J896" s="24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24"/>
      <c r="D897" s="24"/>
      <c r="E897" s="24"/>
      <c r="F897" s="24"/>
      <c r="G897" s="24"/>
      <c r="H897" s="24"/>
      <c r="I897" s="24"/>
      <c r="J897" s="24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24"/>
      <c r="D898" s="24"/>
      <c r="E898" s="24"/>
      <c r="F898" s="24"/>
      <c r="G898" s="24"/>
      <c r="H898" s="24"/>
      <c r="I898" s="24"/>
      <c r="J898" s="24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24"/>
      <c r="D899" s="24"/>
      <c r="E899" s="24"/>
      <c r="F899" s="24"/>
      <c r="G899" s="24"/>
      <c r="H899" s="24"/>
      <c r="I899" s="24"/>
      <c r="J899" s="24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24"/>
      <c r="D900" s="24"/>
      <c r="E900" s="24"/>
      <c r="F900" s="24"/>
      <c r="G900" s="24"/>
      <c r="H900" s="24"/>
      <c r="I900" s="24"/>
      <c r="J900" s="24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24"/>
      <c r="D901" s="24"/>
      <c r="E901" s="24"/>
      <c r="F901" s="24"/>
      <c r="G901" s="24"/>
      <c r="H901" s="24"/>
      <c r="I901" s="24"/>
      <c r="J901" s="24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24"/>
      <c r="D902" s="24"/>
      <c r="E902" s="24"/>
      <c r="F902" s="24"/>
      <c r="G902" s="24"/>
      <c r="H902" s="24"/>
      <c r="I902" s="24"/>
      <c r="J902" s="24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24"/>
      <c r="D903" s="24"/>
      <c r="E903" s="24"/>
      <c r="F903" s="24"/>
      <c r="G903" s="24"/>
      <c r="H903" s="24"/>
      <c r="I903" s="24"/>
      <c r="J903" s="24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24"/>
      <c r="D904" s="24"/>
      <c r="E904" s="24"/>
      <c r="F904" s="24"/>
      <c r="G904" s="24"/>
      <c r="H904" s="24"/>
      <c r="I904" s="24"/>
      <c r="J904" s="24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24"/>
      <c r="D905" s="24"/>
      <c r="E905" s="24"/>
      <c r="F905" s="24"/>
      <c r="G905" s="24"/>
      <c r="H905" s="24"/>
      <c r="I905" s="24"/>
      <c r="J905" s="24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24"/>
      <c r="D906" s="24"/>
      <c r="E906" s="24"/>
      <c r="F906" s="24"/>
      <c r="G906" s="24"/>
      <c r="H906" s="24"/>
      <c r="I906" s="24"/>
      <c r="J906" s="24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24"/>
      <c r="D907" s="24"/>
      <c r="E907" s="24"/>
      <c r="F907" s="24"/>
      <c r="G907" s="24"/>
      <c r="H907" s="24"/>
      <c r="I907" s="24"/>
      <c r="J907" s="24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24"/>
      <c r="D908" s="24"/>
      <c r="E908" s="24"/>
      <c r="F908" s="24"/>
      <c r="G908" s="24"/>
      <c r="H908" s="24"/>
      <c r="I908" s="24"/>
      <c r="J908" s="24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24"/>
      <c r="D909" s="24"/>
      <c r="E909" s="24"/>
      <c r="F909" s="24"/>
      <c r="G909" s="24"/>
      <c r="H909" s="24"/>
      <c r="I909" s="24"/>
      <c r="J909" s="24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24"/>
      <c r="D910" s="24"/>
      <c r="E910" s="24"/>
      <c r="F910" s="24"/>
      <c r="G910" s="24"/>
      <c r="H910" s="24"/>
      <c r="I910" s="24"/>
      <c r="J910" s="24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24"/>
      <c r="D911" s="24"/>
      <c r="E911" s="24"/>
      <c r="F911" s="24"/>
      <c r="G911" s="24"/>
      <c r="H911" s="24"/>
      <c r="I911" s="24"/>
      <c r="J911" s="24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24"/>
      <c r="D912" s="24"/>
      <c r="E912" s="24"/>
      <c r="F912" s="24"/>
      <c r="G912" s="24"/>
      <c r="H912" s="24"/>
      <c r="I912" s="24"/>
      <c r="J912" s="24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24"/>
      <c r="D913" s="24"/>
      <c r="E913" s="24"/>
      <c r="F913" s="24"/>
      <c r="G913" s="24"/>
      <c r="H913" s="24"/>
      <c r="I913" s="24"/>
      <c r="J913" s="24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24"/>
      <c r="D914" s="24"/>
      <c r="E914" s="24"/>
      <c r="F914" s="24"/>
      <c r="G914" s="24"/>
      <c r="H914" s="24"/>
      <c r="I914" s="24"/>
      <c r="J914" s="24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24"/>
      <c r="D915" s="24"/>
      <c r="E915" s="24"/>
      <c r="F915" s="24"/>
      <c r="G915" s="24"/>
      <c r="H915" s="24"/>
      <c r="I915" s="24"/>
      <c r="J915" s="24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24"/>
      <c r="D916" s="24"/>
      <c r="E916" s="24"/>
      <c r="F916" s="24"/>
      <c r="G916" s="24"/>
      <c r="H916" s="24"/>
      <c r="I916" s="24"/>
      <c r="J916" s="24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24"/>
      <c r="D917" s="24"/>
      <c r="E917" s="24"/>
      <c r="F917" s="24"/>
      <c r="G917" s="24"/>
      <c r="H917" s="24"/>
      <c r="I917" s="24"/>
      <c r="J917" s="24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24"/>
      <c r="D918" s="24"/>
      <c r="E918" s="24"/>
      <c r="F918" s="24"/>
      <c r="G918" s="24"/>
      <c r="H918" s="24"/>
      <c r="I918" s="24"/>
      <c r="J918" s="24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24"/>
      <c r="D919" s="24"/>
      <c r="E919" s="24"/>
      <c r="F919" s="24"/>
      <c r="G919" s="24"/>
      <c r="H919" s="24"/>
      <c r="I919" s="24"/>
      <c r="J919" s="24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24"/>
      <c r="D920" s="24"/>
      <c r="E920" s="24"/>
      <c r="F920" s="24"/>
      <c r="G920" s="24"/>
      <c r="H920" s="24"/>
      <c r="I920" s="24"/>
      <c r="J920" s="24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24"/>
      <c r="D921" s="24"/>
      <c r="E921" s="24"/>
      <c r="F921" s="24"/>
      <c r="G921" s="24"/>
      <c r="H921" s="24"/>
      <c r="I921" s="24"/>
      <c r="J921" s="24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24"/>
      <c r="D922" s="24"/>
      <c r="E922" s="24"/>
      <c r="F922" s="24"/>
      <c r="G922" s="24"/>
      <c r="H922" s="24"/>
      <c r="I922" s="24"/>
      <c r="J922" s="24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24"/>
      <c r="D923" s="24"/>
      <c r="E923" s="24"/>
      <c r="F923" s="24"/>
      <c r="G923" s="24"/>
      <c r="H923" s="24"/>
      <c r="I923" s="24"/>
      <c r="J923" s="24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24"/>
      <c r="D924" s="24"/>
      <c r="E924" s="24"/>
      <c r="F924" s="24"/>
      <c r="G924" s="24"/>
      <c r="H924" s="24"/>
      <c r="I924" s="24"/>
      <c r="J924" s="24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24"/>
      <c r="D925" s="24"/>
      <c r="E925" s="24"/>
      <c r="F925" s="24"/>
      <c r="G925" s="24"/>
      <c r="H925" s="24"/>
      <c r="I925" s="24"/>
      <c r="J925" s="24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24"/>
      <c r="D926" s="24"/>
      <c r="E926" s="24"/>
      <c r="F926" s="24"/>
      <c r="G926" s="24"/>
      <c r="H926" s="24"/>
      <c r="I926" s="24"/>
      <c r="J926" s="24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24"/>
      <c r="D927" s="24"/>
      <c r="E927" s="24"/>
      <c r="F927" s="24"/>
      <c r="G927" s="24"/>
      <c r="H927" s="24"/>
      <c r="I927" s="24"/>
      <c r="J927" s="24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24"/>
      <c r="D928" s="24"/>
      <c r="E928" s="24"/>
      <c r="F928" s="24"/>
      <c r="G928" s="24"/>
      <c r="H928" s="24"/>
      <c r="I928" s="24"/>
      <c r="J928" s="24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24"/>
      <c r="D929" s="24"/>
      <c r="E929" s="24"/>
      <c r="F929" s="24"/>
      <c r="G929" s="24"/>
      <c r="H929" s="24"/>
      <c r="I929" s="24"/>
      <c r="J929" s="24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24"/>
      <c r="D930" s="24"/>
      <c r="E930" s="24"/>
      <c r="F930" s="24"/>
      <c r="G930" s="24"/>
      <c r="H930" s="24"/>
      <c r="I930" s="24"/>
      <c r="J930" s="24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24"/>
      <c r="D931" s="24"/>
      <c r="E931" s="24"/>
      <c r="F931" s="24"/>
      <c r="G931" s="24"/>
      <c r="H931" s="24"/>
      <c r="I931" s="24"/>
      <c r="J931" s="24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24"/>
      <c r="D932" s="24"/>
      <c r="E932" s="24"/>
      <c r="F932" s="24"/>
      <c r="G932" s="24"/>
      <c r="H932" s="24"/>
      <c r="I932" s="24"/>
      <c r="J932" s="24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24"/>
      <c r="D933" s="24"/>
      <c r="E933" s="24"/>
      <c r="F933" s="24"/>
      <c r="G933" s="24"/>
      <c r="H933" s="24"/>
      <c r="I933" s="24"/>
      <c r="J933" s="24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24"/>
      <c r="D934" s="24"/>
      <c r="E934" s="24"/>
      <c r="F934" s="24"/>
      <c r="G934" s="24"/>
      <c r="H934" s="24"/>
      <c r="I934" s="24"/>
      <c r="J934" s="24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24"/>
      <c r="D935" s="24"/>
      <c r="E935" s="24"/>
      <c r="F935" s="24"/>
      <c r="G935" s="24"/>
      <c r="H935" s="24"/>
      <c r="I935" s="24"/>
      <c r="J935" s="24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24"/>
      <c r="D936" s="24"/>
      <c r="E936" s="24"/>
      <c r="F936" s="24"/>
      <c r="G936" s="24"/>
      <c r="H936" s="24"/>
      <c r="I936" s="24"/>
      <c r="J936" s="24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24"/>
      <c r="D937" s="24"/>
      <c r="E937" s="24"/>
      <c r="F937" s="24"/>
      <c r="G937" s="24"/>
      <c r="H937" s="24"/>
      <c r="I937" s="24"/>
      <c r="J937" s="24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24"/>
      <c r="D938" s="24"/>
      <c r="E938" s="24"/>
      <c r="F938" s="24"/>
      <c r="G938" s="24"/>
      <c r="H938" s="24"/>
      <c r="I938" s="24"/>
      <c r="J938" s="24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24"/>
      <c r="D939" s="24"/>
      <c r="E939" s="24"/>
      <c r="F939" s="24"/>
      <c r="G939" s="24"/>
      <c r="H939" s="24"/>
      <c r="I939" s="24"/>
      <c r="J939" s="24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24"/>
      <c r="D940" s="24"/>
      <c r="E940" s="24"/>
      <c r="F940" s="24"/>
      <c r="G940" s="24"/>
      <c r="H940" s="24"/>
      <c r="I940" s="24"/>
      <c r="J940" s="24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24"/>
      <c r="D941" s="24"/>
      <c r="E941" s="24"/>
      <c r="F941" s="24"/>
      <c r="G941" s="24"/>
      <c r="H941" s="24"/>
      <c r="I941" s="24"/>
      <c r="J941" s="24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24"/>
      <c r="D942" s="24"/>
      <c r="E942" s="24"/>
      <c r="F942" s="24"/>
      <c r="G942" s="24"/>
      <c r="H942" s="24"/>
      <c r="I942" s="24"/>
      <c r="J942" s="24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24"/>
      <c r="D943" s="24"/>
      <c r="E943" s="24"/>
      <c r="F943" s="24"/>
      <c r="G943" s="24"/>
      <c r="H943" s="24"/>
      <c r="I943" s="24"/>
      <c r="J943" s="24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24"/>
      <c r="D944" s="24"/>
      <c r="E944" s="24"/>
      <c r="F944" s="24"/>
      <c r="G944" s="24"/>
      <c r="H944" s="24"/>
      <c r="I944" s="24"/>
      <c r="J944" s="24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24"/>
      <c r="D945" s="24"/>
      <c r="E945" s="24"/>
      <c r="F945" s="24"/>
      <c r="G945" s="24"/>
      <c r="H945" s="24"/>
      <c r="I945" s="24"/>
      <c r="J945" s="24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24"/>
      <c r="D946" s="24"/>
      <c r="E946" s="24"/>
      <c r="F946" s="24"/>
      <c r="G946" s="24"/>
      <c r="H946" s="24"/>
      <c r="I946" s="24"/>
      <c r="J946" s="24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24"/>
      <c r="D947" s="24"/>
      <c r="E947" s="24"/>
      <c r="F947" s="24"/>
      <c r="G947" s="24"/>
      <c r="H947" s="24"/>
      <c r="I947" s="24"/>
      <c r="J947" s="24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24"/>
      <c r="D948" s="24"/>
      <c r="E948" s="24"/>
      <c r="F948" s="24"/>
      <c r="G948" s="24"/>
      <c r="H948" s="24"/>
      <c r="I948" s="24"/>
      <c r="J948" s="24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24"/>
      <c r="D949" s="24"/>
      <c r="E949" s="24"/>
      <c r="F949" s="24"/>
      <c r="G949" s="24"/>
      <c r="H949" s="24"/>
      <c r="I949" s="24"/>
      <c r="J949" s="24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24"/>
      <c r="D950" s="24"/>
      <c r="E950" s="24"/>
      <c r="F950" s="24"/>
      <c r="G950" s="24"/>
      <c r="H950" s="24"/>
      <c r="I950" s="24"/>
      <c r="J950" s="24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24"/>
      <c r="D951" s="24"/>
      <c r="E951" s="24"/>
      <c r="F951" s="24"/>
      <c r="G951" s="24"/>
      <c r="H951" s="24"/>
      <c r="I951" s="24"/>
      <c r="J951" s="24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24"/>
      <c r="D952" s="24"/>
      <c r="E952" s="24"/>
      <c r="F952" s="24"/>
      <c r="G952" s="24"/>
      <c r="H952" s="24"/>
      <c r="I952" s="24"/>
      <c r="J952" s="24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24"/>
      <c r="D953" s="24"/>
      <c r="E953" s="24"/>
      <c r="F953" s="24"/>
      <c r="G953" s="24"/>
      <c r="H953" s="24"/>
      <c r="I953" s="24"/>
      <c r="J953" s="24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24"/>
      <c r="D954" s="24"/>
      <c r="E954" s="24"/>
      <c r="F954" s="24"/>
      <c r="G954" s="24"/>
      <c r="H954" s="24"/>
      <c r="I954" s="24"/>
      <c r="J954" s="24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24"/>
      <c r="D955" s="24"/>
      <c r="E955" s="24"/>
      <c r="F955" s="24"/>
      <c r="G955" s="24"/>
      <c r="H955" s="24"/>
      <c r="I955" s="24"/>
      <c r="J955" s="24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24"/>
      <c r="D956" s="24"/>
      <c r="E956" s="24"/>
      <c r="F956" s="24"/>
      <c r="G956" s="24"/>
      <c r="H956" s="24"/>
      <c r="I956" s="24"/>
      <c r="J956" s="24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24"/>
      <c r="D957" s="24"/>
      <c r="E957" s="24"/>
      <c r="F957" s="24"/>
      <c r="G957" s="24"/>
      <c r="H957" s="24"/>
      <c r="I957" s="24"/>
      <c r="J957" s="24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24"/>
      <c r="D958" s="24"/>
      <c r="E958" s="24"/>
      <c r="F958" s="24"/>
      <c r="G958" s="24"/>
      <c r="H958" s="24"/>
      <c r="I958" s="24"/>
      <c r="J958" s="24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24"/>
      <c r="D959" s="24"/>
      <c r="E959" s="24"/>
      <c r="F959" s="24"/>
      <c r="G959" s="24"/>
      <c r="H959" s="24"/>
      <c r="I959" s="24"/>
      <c r="J959" s="24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24"/>
      <c r="D960" s="24"/>
      <c r="E960" s="24"/>
      <c r="F960" s="24"/>
      <c r="G960" s="24"/>
      <c r="H960" s="24"/>
      <c r="I960" s="24"/>
      <c r="J960" s="24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24"/>
      <c r="D961" s="24"/>
      <c r="E961" s="24"/>
      <c r="F961" s="24"/>
      <c r="G961" s="24"/>
      <c r="H961" s="24"/>
      <c r="I961" s="24"/>
      <c r="J961" s="24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24"/>
      <c r="D962" s="24"/>
      <c r="E962" s="24"/>
      <c r="F962" s="24"/>
      <c r="G962" s="24"/>
      <c r="H962" s="24"/>
      <c r="I962" s="24"/>
      <c r="J962" s="24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24"/>
      <c r="D963" s="24"/>
      <c r="E963" s="24"/>
      <c r="F963" s="24"/>
      <c r="G963" s="24"/>
      <c r="H963" s="24"/>
      <c r="I963" s="24"/>
      <c r="J963" s="24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24"/>
      <c r="D964" s="24"/>
      <c r="E964" s="24"/>
      <c r="F964" s="24"/>
      <c r="G964" s="24"/>
      <c r="H964" s="24"/>
      <c r="I964" s="24"/>
      <c r="J964" s="24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24"/>
      <c r="D965" s="24"/>
      <c r="E965" s="24"/>
      <c r="F965" s="24"/>
      <c r="G965" s="24"/>
      <c r="H965" s="24"/>
      <c r="I965" s="24"/>
      <c r="J965" s="24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24"/>
      <c r="D966" s="24"/>
      <c r="E966" s="24"/>
      <c r="F966" s="24"/>
      <c r="G966" s="24"/>
      <c r="H966" s="24"/>
      <c r="I966" s="24"/>
      <c r="J966" s="24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24"/>
      <c r="D967" s="24"/>
      <c r="E967" s="24"/>
      <c r="F967" s="24"/>
      <c r="G967" s="24"/>
      <c r="H967" s="24"/>
      <c r="I967" s="24"/>
      <c r="J967" s="24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24"/>
      <c r="D968" s="24"/>
      <c r="E968" s="24"/>
      <c r="F968" s="24"/>
      <c r="G968" s="24"/>
      <c r="H968" s="24"/>
      <c r="I968" s="24"/>
      <c r="J968" s="24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24"/>
      <c r="D969" s="24"/>
      <c r="E969" s="24"/>
      <c r="F969" s="24"/>
      <c r="G969" s="24"/>
      <c r="H969" s="24"/>
      <c r="I969" s="24"/>
      <c r="J969" s="24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24"/>
      <c r="D970" s="24"/>
      <c r="E970" s="24"/>
      <c r="F970" s="24"/>
      <c r="G970" s="24"/>
      <c r="H970" s="24"/>
      <c r="I970" s="24"/>
      <c r="J970" s="24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24"/>
      <c r="D971" s="24"/>
      <c r="E971" s="24"/>
      <c r="F971" s="24"/>
      <c r="G971" s="24"/>
      <c r="H971" s="24"/>
      <c r="I971" s="24"/>
      <c r="J971" s="24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24"/>
      <c r="D972" s="24"/>
      <c r="E972" s="24"/>
      <c r="F972" s="24"/>
      <c r="G972" s="24"/>
      <c r="H972" s="24"/>
      <c r="I972" s="24"/>
      <c r="J972" s="24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24"/>
      <c r="D973" s="24"/>
      <c r="E973" s="24"/>
      <c r="F973" s="24"/>
      <c r="G973" s="24"/>
      <c r="H973" s="24"/>
      <c r="I973" s="24"/>
      <c r="J973" s="24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24"/>
      <c r="D974" s="24"/>
      <c r="E974" s="24"/>
      <c r="F974" s="24"/>
      <c r="G974" s="24"/>
      <c r="H974" s="24"/>
      <c r="I974" s="24"/>
      <c r="J974" s="24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24"/>
      <c r="D975" s="24"/>
      <c r="E975" s="24"/>
      <c r="F975" s="24"/>
      <c r="G975" s="24"/>
      <c r="H975" s="24"/>
      <c r="I975" s="24"/>
      <c r="J975" s="24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24"/>
      <c r="D976" s="24"/>
      <c r="E976" s="24"/>
      <c r="F976" s="24"/>
      <c r="G976" s="24"/>
      <c r="H976" s="24"/>
      <c r="I976" s="24"/>
      <c r="J976" s="24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24"/>
      <c r="D977" s="24"/>
      <c r="E977" s="24"/>
      <c r="F977" s="24"/>
      <c r="G977" s="24"/>
      <c r="H977" s="24"/>
      <c r="I977" s="24"/>
      <c r="J977" s="24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24"/>
      <c r="D978" s="24"/>
      <c r="E978" s="24"/>
      <c r="F978" s="24"/>
      <c r="G978" s="24"/>
      <c r="H978" s="24"/>
      <c r="I978" s="24"/>
      <c r="J978" s="24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24"/>
      <c r="D979" s="24"/>
      <c r="E979" s="24"/>
      <c r="F979" s="24"/>
      <c r="G979" s="24"/>
      <c r="H979" s="24"/>
      <c r="I979" s="24"/>
      <c r="J979" s="24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24"/>
      <c r="D980" s="24"/>
      <c r="E980" s="24"/>
      <c r="F980" s="24"/>
      <c r="G980" s="24"/>
      <c r="H980" s="24"/>
      <c r="I980" s="24"/>
      <c r="J980" s="24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24"/>
      <c r="D981" s="24"/>
      <c r="E981" s="24"/>
      <c r="F981" s="24"/>
      <c r="G981" s="24"/>
      <c r="H981" s="24"/>
      <c r="I981" s="24"/>
      <c r="J981" s="24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24"/>
      <c r="D982" s="24"/>
      <c r="E982" s="24"/>
      <c r="F982" s="24"/>
      <c r="G982" s="24"/>
      <c r="H982" s="24"/>
      <c r="I982" s="24"/>
      <c r="J982" s="24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24"/>
      <c r="D983" s="24"/>
      <c r="E983" s="24"/>
      <c r="F983" s="24"/>
      <c r="G983" s="24"/>
      <c r="H983" s="24"/>
      <c r="I983" s="24"/>
      <c r="J983" s="24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24"/>
      <c r="D984" s="24"/>
      <c r="E984" s="24"/>
      <c r="F984" s="24"/>
      <c r="G984" s="24"/>
      <c r="H984" s="24"/>
      <c r="I984" s="24"/>
      <c r="J984" s="24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24"/>
      <c r="D985" s="24"/>
      <c r="E985" s="24"/>
      <c r="F985" s="24"/>
      <c r="G985" s="24"/>
      <c r="H985" s="24"/>
      <c r="I985" s="24"/>
      <c r="J985" s="24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24"/>
      <c r="D986" s="24"/>
      <c r="E986" s="24"/>
      <c r="F986" s="24"/>
      <c r="G986" s="24"/>
      <c r="H986" s="24"/>
      <c r="I986" s="24"/>
      <c r="J986" s="24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24"/>
      <c r="D987" s="24"/>
      <c r="E987" s="24"/>
      <c r="F987" s="24"/>
      <c r="G987" s="24"/>
      <c r="H987" s="24"/>
      <c r="I987" s="24"/>
      <c r="J987" s="24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24"/>
      <c r="D988" s="24"/>
      <c r="E988" s="24"/>
      <c r="F988" s="24"/>
      <c r="G988" s="24"/>
      <c r="H988" s="24"/>
      <c r="I988" s="24"/>
      <c r="J988" s="24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24"/>
      <c r="D989" s="24"/>
      <c r="E989" s="24"/>
      <c r="F989" s="24"/>
      <c r="G989" s="24"/>
      <c r="H989" s="24"/>
      <c r="I989" s="24"/>
      <c r="J989" s="24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24"/>
      <c r="D990" s="24"/>
      <c r="E990" s="24"/>
      <c r="F990" s="24"/>
      <c r="G990" s="24"/>
      <c r="H990" s="24"/>
      <c r="I990" s="24"/>
      <c r="J990" s="24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24"/>
      <c r="D991" s="24"/>
      <c r="E991" s="24"/>
      <c r="F991" s="24"/>
      <c r="G991" s="24"/>
      <c r="H991" s="24"/>
      <c r="I991" s="24"/>
      <c r="J991" s="24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24"/>
      <c r="D992" s="24"/>
      <c r="E992" s="24"/>
      <c r="F992" s="24"/>
      <c r="G992" s="24"/>
      <c r="H992" s="24"/>
      <c r="I992" s="24"/>
      <c r="J992" s="24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24"/>
      <c r="D993" s="24"/>
      <c r="E993" s="24"/>
      <c r="F993" s="24"/>
      <c r="G993" s="24"/>
      <c r="H993" s="24"/>
      <c r="I993" s="24"/>
      <c r="J993" s="24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24"/>
      <c r="D994" s="24"/>
      <c r="E994" s="24"/>
      <c r="F994" s="24"/>
      <c r="G994" s="24"/>
      <c r="H994" s="24"/>
      <c r="I994" s="24"/>
      <c r="J994" s="24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24"/>
      <c r="D995" s="24"/>
      <c r="E995" s="24"/>
      <c r="F995" s="24"/>
      <c r="G995" s="24"/>
      <c r="H995" s="24"/>
      <c r="I995" s="24"/>
      <c r="J995" s="24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24"/>
      <c r="D996" s="24"/>
      <c r="E996" s="24"/>
      <c r="F996" s="24"/>
      <c r="G996" s="24"/>
      <c r="H996" s="24"/>
      <c r="I996" s="24"/>
      <c r="J996" s="24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24"/>
      <c r="D997" s="24"/>
      <c r="E997" s="24"/>
      <c r="F997" s="24"/>
      <c r="G997" s="24"/>
      <c r="H997" s="24"/>
      <c r="I997" s="24"/>
      <c r="J997" s="24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24"/>
      <c r="D998" s="24"/>
      <c r="E998" s="24"/>
      <c r="F998" s="24"/>
      <c r="G998" s="24"/>
      <c r="H998" s="24"/>
      <c r="I998" s="24"/>
      <c r="J998" s="24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24"/>
      <c r="D999" s="24"/>
      <c r="E999" s="24"/>
      <c r="F999" s="24"/>
      <c r="G999" s="24"/>
      <c r="H999" s="24"/>
      <c r="I999" s="24"/>
      <c r="J999" s="24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24"/>
      <c r="D1000" s="24"/>
      <c r="E1000" s="24"/>
      <c r="F1000" s="24"/>
      <c r="G1000" s="24"/>
      <c r="H1000" s="24"/>
      <c r="I1000" s="24"/>
      <c r="J1000" s="24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59.5"/>
    <col customWidth="1" min="3" max="10" width="14.63"/>
    <col customWidth="1" min="11" max="13" width="11.13"/>
    <col customWidth="1" min="14" max="15" width="13.13"/>
    <col customWidth="1" min="16" max="16" width="11.75"/>
    <col customWidth="1" min="17" max="17" width="13.13"/>
    <col customWidth="1" min="18" max="26" width="11.13"/>
  </cols>
  <sheetData>
    <row r="1" ht="15.75" customHeight="1">
      <c r="A1" s="69"/>
      <c r="B1" s="70" t="s">
        <v>382</v>
      </c>
      <c r="C1" s="33" t="str">
        <f>case!B1</f>
        <v>31/12/2024</v>
      </c>
      <c r="D1" s="33" t="str">
        <f>case!C1</f>
        <v>31/12/2023</v>
      </c>
      <c r="E1" s="33" t="str">
        <f>case!D1</f>
        <v>31/12/2022</v>
      </c>
      <c r="F1" s="33" t="str">
        <f>case!E1</f>
        <v>31/12/2021</v>
      </c>
      <c r="G1" s="33" t="str">
        <f>case!F1</f>
        <v>31/12/2020</v>
      </c>
      <c r="H1" s="33" t="str">
        <f>case!G1</f>
        <v>31/12/2019</v>
      </c>
      <c r="I1" s="33" t="str">
        <f>case!H1</f>
        <v>31/12/2018</v>
      </c>
      <c r="J1" s="33" t="str">
        <f>case!I1</f>
        <v>31/12/2017</v>
      </c>
    </row>
    <row r="2" ht="15.75" customHeight="1">
      <c r="A2" s="71"/>
      <c r="B2" s="72" t="s">
        <v>383</v>
      </c>
    </row>
    <row r="3" ht="15.75" customHeight="1">
      <c r="A3" s="73"/>
      <c r="B3" s="74" t="s">
        <v>384</v>
      </c>
    </row>
    <row r="4" ht="15.75" customHeight="1">
      <c r="A4" s="73" t="s">
        <v>385</v>
      </c>
      <c r="B4" s="74" t="s">
        <v>386</v>
      </c>
      <c r="C4" s="75">
        <f>'RC'!C131</f>
        <v>1588849</v>
      </c>
      <c r="D4" s="75">
        <f>'RC'!D131</f>
        <v>1117327</v>
      </c>
      <c r="E4" s="75">
        <f>'RC'!E131</f>
        <v>963975</v>
      </c>
      <c r="F4" s="75">
        <f>'RC'!F131</f>
        <v>1411257</v>
      </c>
      <c r="G4" s="75">
        <f>'RC'!G131</f>
        <v>1351726</v>
      </c>
      <c r="H4" s="75">
        <f>'RC'!H131</f>
        <v>1069627</v>
      </c>
      <c r="I4" s="75">
        <f>'RC'!I131</f>
        <v>1052950</v>
      </c>
      <c r="J4" s="75">
        <f>'RC'!J131</f>
        <v>635847</v>
      </c>
    </row>
    <row r="5" ht="15.75" customHeight="1">
      <c r="A5" s="73" t="s">
        <v>387</v>
      </c>
      <c r="B5" s="74" t="s">
        <v>388</v>
      </c>
      <c r="C5" s="75">
        <f>'RC'!C146</f>
        <v>0</v>
      </c>
      <c r="D5" s="75">
        <f>'RC'!D146</f>
        <v>0</v>
      </c>
      <c r="E5" s="75">
        <f>'RC'!E146</f>
        <v>0</v>
      </c>
      <c r="F5" s="75">
        <f>'RC'!F146</f>
        <v>0</v>
      </c>
      <c r="G5" s="75">
        <f>'RC'!G146</f>
        <v>0</v>
      </c>
      <c r="H5" s="75">
        <f>'RC'!H146</f>
        <v>0</v>
      </c>
      <c r="I5" s="75">
        <f>'RC'!I146</f>
        <v>0</v>
      </c>
      <c r="J5" s="75">
        <f>'RC'!J146</f>
        <v>0</v>
      </c>
    </row>
    <row r="6" ht="15.75" customHeight="1">
      <c r="A6" s="73" t="s">
        <v>385</v>
      </c>
      <c r="B6" s="74" t="s">
        <v>389</v>
      </c>
      <c r="C6" s="75">
        <f>-'RC'!C124</f>
        <v>916802</v>
      </c>
      <c r="D6" s="75">
        <f>-'RC'!D124</f>
        <v>899828</v>
      </c>
      <c r="E6" s="75">
        <f>-'RC'!E124</f>
        <v>856051</v>
      </c>
      <c r="F6" s="75">
        <f>-'RC'!F124</f>
        <v>470290</v>
      </c>
      <c r="G6" s="75">
        <f>-'RC'!G124</f>
        <v>171279</v>
      </c>
      <c r="H6" s="75">
        <f>-'RC'!H124</f>
        <v>180598</v>
      </c>
      <c r="I6" s="75">
        <f>-'RC'!I124</f>
        <v>184962</v>
      </c>
      <c r="J6" s="75">
        <f>-'RC'!J124</f>
        <v>215317</v>
      </c>
    </row>
    <row r="7" ht="15.75" customHeight="1">
      <c r="A7" s="73" t="s">
        <v>390</v>
      </c>
      <c r="B7" s="74" t="s">
        <v>391</v>
      </c>
      <c r="C7" s="75">
        <f>-('RC'!C149+'RC'!C157)</f>
        <v>100967.9441</v>
      </c>
      <c r="D7" s="75">
        <f>-('RC'!D149+'RC'!D157)</f>
        <v>2676.066429</v>
      </c>
      <c r="E7" s="75">
        <f>-('RC'!E149+'RC'!E157)</f>
        <v>20538.04935</v>
      </c>
      <c r="F7" s="75">
        <f>-('RC'!F149+'RC'!F157)</f>
        <v>201174.4868</v>
      </c>
      <c r="G7" s="75">
        <f>-('RC'!G149+'RC'!G157)</f>
        <v>235308.9336</v>
      </c>
      <c r="H7" s="75">
        <f>-('RC'!H149+'RC'!H157)</f>
        <v>196885.3191</v>
      </c>
      <c r="I7" s="75">
        <f>-('RC'!I149+'RC'!I157)</f>
        <v>250659.9559</v>
      </c>
      <c r="J7" s="75">
        <f>-('RC'!J149+'RC'!J157)</f>
        <v>136307.8299</v>
      </c>
    </row>
    <row r="8" ht="15.75" customHeight="1">
      <c r="A8" s="76" t="s">
        <v>392</v>
      </c>
      <c r="B8" s="77" t="s">
        <v>393</v>
      </c>
      <c r="C8" s="78">
        <f t="shared" ref="C8:J8" si="1">C4+C5+C6-C7</f>
        <v>2404683.056</v>
      </c>
      <c r="D8" s="78">
        <f t="shared" si="1"/>
        <v>2014478.934</v>
      </c>
      <c r="E8" s="78">
        <f t="shared" si="1"/>
        <v>1799487.951</v>
      </c>
      <c r="F8" s="78">
        <f t="shared" si="1"/>
        <v>1680372.513</v>
      </c>
      <c r="G8" s="78">
        <f t="shared" si="1"/>
        <v>1287696.066</v>
      </c>
      <c r="H8" s="78">
        <f t="shared" si="1"/>
        <v>1053339.681</v>
      </c>
      <c r="I8" s="78">
        <f t="shared" si="1"/>
        <v>987252.0441</v>
      </c>
      <c r="J8" s="78">
        <f t="shared" si="1"/>
        <v>714856.1701</v>
      </c>
    </row>
    <row r="9" ht="15.75" customHeight="1">
      <c r="A9" s="73"/>
      <c r="B9" s="74" t="s">
        <v>394</v>
      </c>
    </row>
    <row r="10" ht="15.75" customHeight="1">
      <c r="A10" s="73"/>
      <c r="B10" s="74" t="s">
        <v>395</v>
      </c>
    </row>
    <row r="11" ht="15.75" customHeight="1">
      <c r="A11" s="73" t="s">
        <v>390</v>
      </c>
      <c r="B11" s="74" t="s">
        <v>396</v>
      </c>
      <c r="C11" s="75">
        <f>-'RC'!C5</f>
        <v>-4256399</v>
      </c>
      <c r="D11" s="75">
        <f>-'RC'!D5</f>
        <v>-3896776</v>
      </c>
      <c r="E11" s="75">
        <f>-'RC'!E5</f>
        <v>-2966203</v>
      </c>
      <c r="F11" s="75">
        <f>-'RC'!F5</f>
        <v>-3180616</v>
      </c>
      <c r="G11" s="75">
        <f>-'RC'!G5</f>
        <v>-2787212</v>
      </c>
      <c r="H11" s="75">
        <f>-'RC'!H5</f>
        <v>-2642901</v>
      </c>
      <c r="I11" s="75">
        <f>-'RC'!I5</f>
        <v>-2353521</v>
      </c>
      <c r="J11" s="75">
        <f>-'RC'!J5</f>
        <v>-2381302</v>
      </c>
    </row>
    <row r="12" ht="15.75" customHeight="1">
      <c r="A12" s="73" t="s">
        <v>390</v>
      </c>
      <c r="B12" s="74" t="s">
        <v>397</v>
      </c>
      <c r="C12" s="75">
        <f>-'RC'!C6</f>
        <v>-4608814</v>
      </c>
      <c r="D12" s="75">
        <f>-'RC'!D6</f>
        <v>-5040346</v>
      </c>
      <c r="E12" s="75">
        <f>-'RC'!E6</f>
        <v>-5250264</v>
      </c>
      <c r="F12" s="75">
        <f>-'RC'!F6</f>
        <v>-2924371</v>
      </c>
      <c r="G12" s="75">
        <f>-'RC'!G6</f>
        <v>-2556678</v>
      </c>
      <c r="H12" s="75">
        <f>-'RC'!H6</f>
        <v>-3010721</v>
      </c>
      <c r="I12" s="75">
        <f>-'RC'!I6</f>
        <v>-2422241</v>
      </c>
      <c r="J12" s="75">
        <f>-'RC'!J6</f>
        <v>-2070635</v>
      </c>
    </row>
    <row r="13" ht="15.75" customHeight="1">
      <c r="A13" s="73" t="s">
        <v>390</v>
      </c>
      <c r="B13" s="74" t="s">
        <v>398</v>
      </c>
      <c r="C13" s="75">
        <f>-'RC'!C7</f>
        <v>-816992</v>
      </c>
      <c r="D13" s="75">
        <f>-'RC'!D7</f>
        <v>-1399880</v>
      </c>
      <c r="E13" s="75">
        <f>-'RC'!E7</f>
        <v>-1028451</v>
      </c>
      <c r="F13" s="75">
        <f>-'RC'!F7</f>
        <v>-116979</v>
      </c>
      <c r="G13" s="75">
        <f>-'RC'!G7</f>
        <v>-104609</v>
      </c>
      <c r="H13" s="75">
        <f>-'RC'!H7</f>
        <v>-261767</v>
      </c>
      <c r="I13" s="75">
        <f>-'RC'!I7</f>
        <v>-83114</v>
      </c>
      <c r="J13" s="75">
        <f>-'RC'!J7</f>
        <v>-73755</v>
      </c>
    </row>
    <row r="14" ht="15.75" customHeight="1">
      <c r="A14" s="73" t="s">
        <v>385</v>
      </c>
      <c r="B14" s="74" t="s">
        <v>399</v>
      </c>
      <c r="C14" s="75">
        <f>'RC'!C48</f>
        <v>2274193</v>
      </c>
      <c r="D14" s="75">
        <f>'RC'!D48</f>
        <v>2343088</v>
      </c>
      <c r="E14" s="75">
        <f>'RC'!E48</f>
        <v>2517619</v>
      </c>
      <c r="F14" s="75">
        <f>'RC'!F48</f>
        <v>2142223</v>
      </c>
      <c r="G14" s="75">
        <f>'RC'!G48</f>
        <v>1385728</v>
      </c>
      <c r="H14" s="75">
        <f>'RC'!H48</f>
        <v>2083244</v>
      </c>
      <c r="I14" s="75">
        <f>'RC'!I48</f>
        <v>1195746</v>
      </c>
      <c r="J14" s="75">
        <f>'RC'!J48</f>
        <v>1264218</v>
      </c>
    </row>
    <row r="15" ht="15.75" customHeight="1">
      <c r="A15" s="73" t="s">
        <v>385</v>
      </c>
      <c r="B15" s="74" t="s">
        <v>400</v>
      </c>
      <c r="C15" s="75">
        <f>'RC'!C50</f>
        <v>1755910</v>
      </c>
      <c r="D15" s="75">
        <f>'RC'!D50</f>
        <v>1902846</v>
      </c>
      <c r="E15" s="75">
        <f>'RC'!E50</f>
        <v>1988017</v>
      </c>
      <c r="F15" s="75">
        <f>'RC'!F50</f>
        <v>743242</v>
      </c>
      <c r="G15" s="75">
        <f>'RC'!G50</f>
        <v>648237</v>
      </c>
      <c r="H15" s="75">
        <f>'RC'!H50</f>
        <v>547878</v>
      </c>
      <c r="I15" s="75">
        <f>'RC'!I50</f>
        <v>447728</v>
      </c>
      <c r="J15" s="75">
        <f>'RC'!J50</f>
        <v>399886</v>
      </c>
    </row>
    <row r="16" ht="15.75" customHeight="1">
      <c r="A16" s="73" t="s">
        <v>390</v>
      </c>
      <c r="B16" s="74" t="s">
        <v>401</v>
      </c>
      <c r="C16" s="75">
        <f>-'RC'!C21</f>
        <v>-23274</v>
      </c>
      <c r="D16" s="75">
        <f>-'RC'!D21</f>
        <v>-142981</v>
      </c>
      <c r="E16" s="75">
        <f>-'RC'!E21</f>
        <v>-705663</v>
      </c>
      <c r="F16" s="75">
        <f>-'RC'!F21</f>
        <v>-147272</v>
      </c>
      <c r="G16" s="75">
        <f>-'RC'!G21</f>
        <v>-284700</v>
      </c>
      <c r="H16" s="75">
        <f>-'RC'!H21</f>
        <v>-175791</v>
      </c>
      <c r="I16" s="75">
        <f>-'RC'!I21</f>
        <v>-57954</v>
      </c>
      <c r="J16" s="75">
        <f>-'RC'!J21</f>
        <v>-4758</v>
      </c>
    </row>
    <row r="17" ht="15.75" customHeight="1">
      <c r="A17" s="73" t="s">
        <v>385</v>
      </c>
      <c r="B17" s="74" t="s">
        <v>402</v>
      </c>
      <c r="C17" s="75">
        <f>'RC'!C62</f>
        <v>305861</v>
      </c>
      <c r="D17" s="75">
        <f>'RC'!D62</f>
        <v>221774</v>
      </c>
      <c r="E17" s="75">
        <f>'RC'!E62</f>
        <v>130071</v>
      </c>
      <c r="F17" s="75">
        <f>'RC'!F62</f>
        <v>171771</v>
      </c>
      <c r="G17" s="75">
        <f>'RC'!G62</f>
        <v>152360</v>
      </c>
      <c r="H17" s="75">
        <f>'RC'!H62</f>
        <v>109971</v>
      </c>
      <c r="I17" s="75">
        <f>'RC'!I62</f>
        <v>257456</v>
      </c>
      <c r="J17" s="75">
        <f>'RC'!J62</f>
        <v>344734</v>
      </c>
    </row>
    <row r="18" ht="15.75" customHeight="1">
      <c r="A18" s="79" t="s">
        <v>392</v>
      </c>
      <c r="B18" s="80" t="s">
        <v>403</v>
      </c>
      <c r="C18" s="78">
        <f t="shared" ref="C18:J18" si="2">SUM(C11:C17)</f>
        <v>-5369515</v>
      </c>
      <c r="D18" s="78">
        <f t="shared" si="2"/>
        <v>-6012275</v>
      </c>
      <c r="E18" s="78">
        <f t="shared" si="2"/>
        <v>-5314874</v>
      </c>
      <c r="F18" s="78">
        <f t="shared" si="2"/>
        <v>-3312002</v>
      </c>
      <c r="G18" s="78">
        <f t="shared" si="2"/>
        <v>-3546874</v>
      </c>
      <c r="H18" s="78">
        <f t="shared" si="2"/>
        <v>-3350087</v>
      </c>
      <c r="I18" s="78">
        <f t="shared" si="2"/>
        <v>-3015900</v>
      </c>
      <c r="J18" s="78">
        <f t="shared" si="2"/>
        <v>-2521612</v>
      </c>
      <c r="P18" s="81"/>
      <c r="Q18" s="78"/>
      <c r="R18" s="78"/>
      <c r="S18" s="78"/>
      <c r="T18" s="78"/>
      <c r="U18" s="81"/>
      <c r="V18" s="81"/>
      <c r="W18" s="81"/>
      <c r="X18" s="81"/>
      <c r="Y18" s="81"/>
      <c r="Z18" s="81"/>
    </row>
    <row r="19" ht="15.75" customHeight="1">
      <c r="A19" s="73" t="s">
        <v>385</v>
      </c>
      <c r="B19" s="74" t="s">
        <v>404</v>
      </c>
      <c r="C19" s="75">
        <f>'RC'!C53</f>
        <v>191675</v>
      </c>
      <c r="D19" s="75">
        <f>'RC'!D53</f>
        <v>179286</v>
      </c>
      <c r="E19" s="75">
        <f>'RC'!E53</f>
        <v>189098</v>
      </c>
      <c r="F19" s="75">
        <f>'RC'!F53</f>
        <v>197380</v>
      </c>
      <c r="G19" s="75">
        <f>'RC'!G53</f>
        <v>174392</v>
      </c>
      <c r="H19" s="75">
        <f>'RC'!H53</f>
        <v>206556</v>
      </c>
      <c r="I19" s="75">
        <f>'RC'!I53</f>
        <v>187238</v>
      </c>
      <c r="J19" s="75">
        <f>'RC'!J53</f>
        <v>173667</v>
      </c>
      <c r="Q19" s="82"/>
      <c r="R19" s="82"/>
      <c r="S19" s="82"/>
      <c r="T19" s="82"/>
    </row>
    <row r="20" ht="15.75" customHeight="1">
      <c r="A20" s="73" t="s">
        <v>390</v>
      </c>
      <c r="B20" s="74" t="s">
        <v>405</v>
      </c>
      <c r="C20" s="75">
        <f>-'RC'!C15</f>
        <v>0</v>
      </c>
      <c r="D20" s="75">
        <f>-'RC'!D15</f>
        <v>0</v>
      </c>
      <c r="E20" s="75">
        <f>-'RC'!E15</f>
        <v>0</v>
      </c>
      <c r="F20" s="75">
        <f>-'RC'!F15</f>
        <v>0</v>
      </c>
      <c r="G20" s="75">
        <f>-'RC'!G15</f>
        <v>-8192</v>
      </c>
      <c r="H20" s="75">
        <f>-'RC'!H15</f>
        <v>-8192</v>
      </c>
      <c r="I20" s="75">
        <f>-'RC'!I15</f>
        <v>-8192</v>
      </c>
      <c r="J20" s="75">
        <f>-'RC'!J15</f>
        <v>-8192</v>
      </c>
      <c r="Q20" s="82"/>
      <c r="R20" s="82"/>
      <c r="S20" s="82"/>
      <c r="T20" s="82"/>
    </row>
    <row r="21" ht="15.75" customHeight="1">
      <c r="A21" s="83" t="s">
        <v>385</v>
      </c>
      <c r="B21" s="84" t="s">
        <v>406</v>
      </c>
      <c r="C21" s="75">
        <f>'RC'!C54</f>
        <v>0</v>
      </c>
      <c r="D21" s="75">
        <f>'RC'!D54</f>
        <v>0</v>
      </c>
      <c r="E21" s="75">
        <f>'RC'!E54</f>
        <v>0</v>
      </c>
      <c r="F21" s="75">
        <f>'RC'!F54</f>
        <v>0</v>
      </c>
      <c r="G21" s="75">
        <f>'RC'!G54</f>
        <v>0</v>
      </c>
      <c r="H21" s="75">
        <f>'RC'!H54</f>
        <v>0</v>
      </c>
      <c r="I21" s="75">
        <f>'RC'!I54</f>
        <v>0</v>
      </c>
      <c r="J21" s="75">
        <f>'RC'!J54</f>
        <v>0</v>
      </c>
      <c r="Q21" s="82"/>
      <c r="R21" s="82"/>
      <c r="S21" s="82"/>
      <c r="T21" s="82"/>
    </row>
    <row r="22" ht="15.75" customHeight="1">
      <c r="A22" s="85" t="s">
        <v>392</v>
      </c>
      <c r="B22" s="86" t="s">
        <v>407</v>
      </c>
      <c r="C22" s="75">
        <f t="shared" ref="C22:J22" si="3">SUM(C18:C21)</f>
        <v>-5177840</v>
      </c>
      <c r="D22" s="75">
        <f t="shared" si="3"/>
        <v>-5832989</v>
      </c>
      <c r="E22" s="75">
        <f t="shared" si="3"/>
        <v>-5125776</v>
      </c>
      <c r="F22" s="75">
        <f t="shared" si="3"/>
        <v>-3114622</v>
      </c>
      <c r="G22" s="75">
        <f t="shared" si="3"/>
        <v>-3380674</v>
      </c>
      <c r="H22" s="75">
        <f t="shared" si="3"/>
        <v>-3151723</v>
      </c>
      <c r="I22" s="75">
        <f t="shared" si="3"/>
        <v>-2836854</v>
      </c>
      <c r="J22" s="75">
        <f t="shared" si="3"/>
        <v>-2356137</v>
      </c>
    </row>
    <row r="23" ht="15.75" customHeight="1">
      <c r="A23" s="87" t="s">
        <v>392</v>
      </c>
      <c r="B23" s="88" t="s">
        <v>408</v>
      </c>
      <c r="C23" s="78">
        <f t="shared" ref="C23:J23" si="4">C8+C22</f>
        <v>-2773156.944</v>
      </c>
      <c r="D23" s="78">
        <f t="shared" si="4"/>
        <v>-3818510.066</v>
      </c>
      <c r="E23" s="78">
        <f t="shared" si="4"/>
        <v>-3326288.049</v>
      </c>
      <c r="F23" s="78">
        <f t="shared" si="4"/>
        <v>-1434249.487</v>
      </c>
      <c r="G23" s="78">
        <f t="shared" si="4"/>
        <v>-2092977.934</v>
      </c>
      <c r="H23" s="78">
        <f t="shared" si="4"/>
        <v>-2098383.319</v>
      </c>
      <c r="I23" s="78">
        <f t="shared" si="4"/>
        <v>-1849601.956</v>
      </c>
      <c r="J23" s="78">
        <f t="shared" si="4"/>
        <v>-1641280.83</v>
      </c>
      <c r="K23" s="81"/>
      <c r="L23" s="81"/>
      <c r="M23" s="81"/>
      <c r="N23" s="81"/>
      <c r="O23" s="81"/>
      <c r="P23" s="81"/>
      <c r="Q23" s="78"/>
      <c r="R23" s="82"/>
      <c r="S23" s="82"/>
      <c r="T23" s="82"/>
      <c r="U23" s="81"/>
      <c r="V23" s="81"/>
      <c r="W23" s="81"/>
      <c r="X23" s="81"/>
      <c r="Y23" s="81"/>
      <c r="Z23" s="81"/>
    </row>
    <row r="24" ht="15.75" customHeight="1">
      <c r="A24" s="73"/>
      <c r="B24" s="74" t="s">
        <v>409</v>
      </c>
      <c r="N24" s="89" t="s">
        <v>4</v>
      </c>
      <c r="O24" s="89" t="s">
        <v>3</v>
      </c>
      <c r="P24" s="89" t="s">
        <v>2</v>
      </c>
      <c r="Q24" s="89" t="s">
        <v>1</v>
      </c>
      <c r="R24" s="82"/>
      <c r="S24" s="82"/>
      <c r="T24" s="82"/>
    </row>
    <row r="25" ht="15.75" customHeight="1">
      <c r="A25" s="73" t="s">
        <v>390</v>
      </c>
      <c r="B25" s="74" t="s">
        <v>410</v>
      </c>
      <c r="C25" s="75">
        <f>-'RC'!C12</f>
        <v>-8784248</v>
      </c>
      <c r="D25" s="75">
        <f>-'RC'!D12</f>
        <v>-9124150</v>
      </c>
      <c r="E25" s="75">
        <f>-'RC'!E12</f>
        <v>-9556245</v>
      </c>
      <c r="F25" s="75">
        <f>-'RC'!F12</f>
        <v>-9507000</v>
      </c>
      <c r="G25" s="75">
        <f>-'RC'!G12</f>
        <v>-7058477</v>
      </c>
      <c r="H25" s="75">
        <f>-'RC'!H12</f>
        <v>-2601585</v>
      </c>
      <c r="I25" s="75">
        <f>-'RC'!I12</f>
        <v>-1186419</v>
      </c>
      <c r="J25" s="75">
        <f>-'RC'!J12</f>
        <v>-893795</v>
      </c>
      <c r="M25" s="90" t="s">
        <v>411</v>
      </c>
      <c r="N25" s="91">
        <f>F31-G31</f>
        <v>-2140995.553</v>
      </c>
      <c r="O25" s="91">
        <f>E31-F31</f>
        <v>-2327044.563</v>
      </c>
      <c r="P25" s="91">
        <f>D31-E31</f>
        <v>-103904.0171</v>
      </c>
      <c r="Q25" s="91">
        <f>C31-D31</f>
        <v>1368281.122</v>
      </c>
      <c r="R25" s="82"/>
      <c r="S25" s="82"/>
      <c r="T25" s="82"/>
    </row>
    <row r="26" ht="15.75" customHeight="1">
      <c r="A26" s="73" t="s">
        <v>390</v>
      </c>
      <c r="B26" s="74" t="s">
        <v>412</v>
      </c>
      <c r="C26" s="75">
        <f>-'RC'!C27</f>
        <v>-58702</v>
      </c>
      <c r="D26" s="75">
        <f>-'RC'!D27</f>
        <v>-58702</v>
      </c>
      <c r="E26" s="75">
        <f>-'RC'!E27</f>
        <v>-58702</v>
      </c>
      <c r="F26" s="75">
        <f>-'RC'!F27</f>
        <v>-58702</v>
      </c>
      <c r="G26" s="75">
        <f>-'RC'!G27</f>
        <v>-6512</v>
      </c>
      <c r="H26" s="75">
        <f>-'RC'!H27</f>
        <v>-6512</v>
      </c>
      <c r="I26" s="75">
        <f>-'RC'!I27</f>
        <v>-6512</v>
      </c>
      <c r="J26" s="75">
        <f>-'RC'!J27</f>
        <v>-6512</v>
      </c>
      <c r="M26" s="90" t="s">
        <v>413</v>
      </c>
      <c r="N26" s="92">
        <f>F41-G41</f>
        <v>-555241</v>
      </c>
      <c r="O26" s="92">
        <f>E41-F41</f>
        <v>-1973445</v>
      </c>
      <c r="P26" s="92">
        <f>D41-E41</f>
        <v>-944569</v>
      </c>
      <c r="Q26" s="92">
        <f>C41-D41</f>
        <v>-845781</v>
      </c>
      <c r="R26" s="82"/>
      <c r="S26" s="82"/>
      <c r="T26" s="82"/>
    </row>
    <row r="27" ht="15.75" customHeight="1">
      <c r="A27" s="73" t="s">
        <v>385</v>
      </c>
      <c r="B27" s="74" t="s">
        <v>414</v>
      </c>
      <c r="C27" s="75">
        <f>'RC'!C66</f>
        <v>0</v>
      </c>
      <c r="D27" s="75">
        <f>'RC'!D66</f>
        <v>0</v>
      </c>
      <c r="E27" s="75">
        <f>'RC'!E66</f>
        <v>0</v>
      </c>
      <c r="F27" s="75">
        <f>'RC'!F66</f>
        <v>0</v>
      </c>
      <c r="G27" s="75">
        <f>'RC'!G66</f>
        <v>0</v>
      </c>
      <c r="H27" s="75">
        <f>'RC'!H66</f>
        <v>0</v>
      </c>
      <c r="I27" s="75">
        <f>'RC'!I66</f>
        <v>0</v>
      </c>
      <c r="J27" s="75">
        <f>'RC'!J66</f>
        <v>0</v>
      </c>
      <c r="M27" s="93" t="s">
        <v>415</v>
      </c>
      <c r="N27" s="91">
        <f>F48-G48</f>
        <v>836281</v>
      </c>
      <c r="O27" s="91">
        <f>E48-F48</f>
        <v>861306</v>
      </c>
      <c r="P27" s="91">
        <f>D48-E48</f>
        <v>678579</v>
      </c>
      <c r="Q27" s="91">
        <f>C48-D48</f>
        <v>196669</v>
      </c>
    </row>
    <row r="28" ht="15.75" customHeight="1">
      <c r="A28" s="73" t="s">
        <v>390</v>
      </c>
      <c r="B28" s="74" t="s">
        <v>416</v>
      </c>
      <c r="C28" s="75">
        <f>'RC'!C124</f>
        <v>-916802</v>
      </c>
      <c r="D28" s="75">
        <f>'RC'!D124</f>
        <v>-899828</v>
      </c>
      <c r="E28" s="75">
        <f>'RC'!E124</f>
        <v>-856051</v>
      </c>
      <c r="F28" s="75">
        <f>'RC'!F124</f>
        <v>-470290</v>
      </c>
      <c r="G28" s="75">
        <f>'RC'!G124</f>
        <v>-171279</v>
      </c>
      <c r="H28" s="75">
        <f>'RC'!H124</f>
        <v>-180598</v>
      </c>
      <c r="I28" s="75">
        <f>'RC'!I124</f>
        <v>-184962</v>
      </c>
      <c r="J28" s="75">
        <f>'RC'!J124</f>
        <v>-215317</v>
      </c>
      <c r="M28" s="94" t="s">
        <v>417</v>
      </c>
      <c r="N28" s="95">
        <f>N26+N27</f>
        <v>281040</v>
      </c>
      <c r="O28" s="95">
        <f>O27+O26</f>
        <v>-1112139</v>
      </c>
      <c r="P28" s="95">
        <f t="shared" ref="P28:Q28" si="5">P26+P27</f>
        <v>-265990</v>
      </c>
      <c r="Q28" s="95">
        <f t="shared" si="5"/>
        <v>-649112</v>
      </c>
    </row>
    <row r="29" ht="15.75" customHeight="1">
      <c r="A29" s="73" t="s">
        <v>385</v>
      </c>
      <c r="B29" s="74" t="s">
        <v>418</v>
      </c>
      <c r="C29" s="75">
        <f>'RC'!C80</f>
        <v>0</v>
      </c>
      <c r="D29" s="75">
        <f>'RC'!D80</f>
        <v>0</v>
      </c>
      <c r="E29" s="75">
        <f>'RC'!E80</f>
        <v>0</v>
      </c>
      <c r="F29" s="75">
        <f>'RC'!F80</f>
        <v>0</v>
      </c>
      <c r="G29" s="75">
        <f>'RC'!G80</f>
        <v>0</v>
      </c>
      <c r="H29" s="75">
        <f>'RC'!H80</f>
        <v>0</v>
      </c>
      <c r="I29" s="75">
        <f>'RC'!I80</f>
        <v>0</v>
      </c>
      <c r="J29" s="75">
        <f>'RC'!J80</f>
        <v>0</v>
      </c>
      <c r="L29" s="96"/>
      <c r="M29" s="96"/>
      <c r="O29" s="96"/>
    </row>
    <row r="30" ht="15.75" customHeight="1">
      <c r="A30" s="79" t="s">
        <v>392</v>
      </c>
      <c r="B30" s="80" t="s">
        <v>419</v>
      </c>
      <c r="C30" s="78">
        <f t="shared" ref="C30:J30" si="6">SUM(C25:C29)</f>
        <v>-9759752</v>
      </c>
      <c r="D30" s="78">
        <f t="shared" si="6"/>
        <v>-10082680</v>
      </c>
      <c r="E30" s="78">
        <f t="shared" si="6"/>
        <v>-10470998</v>
      </c>
      <c r="F30" s="78">
        <f t="shared" si="6"/>
        <v>-10035992</v>
      </c>
      <c r="G30" s="78">
        <f t="shared" si="6"/>
        <v>-7236268</v>
      </c>
      <c r="H30" s="78">
        <f t="shared" si="6"/>
        <v>-2788695</v>
      </c>
      <c r="I30" s="78">
        <f t="shared" si="6"/>
        <v>-1377893</v>
      </c>
      <c r="J30" s="78">
        <f t="shared" si="6"/>
        <v>-1115624</v>
      </c>
      <c r="K30" s="93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>
      <c r="A31" s="87" t="s">
        <v>392</v>
      </c>
      <c r="B31" s="88" t="s">
        <v>420</v>
      </c>
      <c r="C31" s="78">
        <f t="shared" ref="C31:J31" si="7">C23+C30</f>
        <v>-12532908.94</v>
      </c>
      <c r="D31" s="78">
        <f t="shared" si="7"/>
        <v>-13901190.07</v>
      </c>
      <c r="E31" s="78">
        <f t="shared" si="7"/>
        <v>-13797286.05</v>
      </c>
      <c r="F31" s="78">
        <f t="shared" si="7"/>
        <v>-11470241.49</v>
      </c>
      <c r="G31" s="78">
        <f t="shared" si="7"/>
        <v>-9329245.934</v>
      </c>
      <c r="H31" s="78">
        <f t="shared" si="7"/>
        <v>-4887078.319</v>
      </c>
      <c r="I31" s="78">
        <f t="shared" si="7"/>
        <v>-3227494.956</v>
      </c>
      <c r="J31" s="78">
        <f t="shared" si="7"/>
        <v>-2756904.83</v>
      </c>
      <c r="K31" s="93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>
      <c r="A32" s="73"/>
      <c r="B32" s="74" t="s">
        <v>421</v>
      </c>
      <c r="K32" s="90"/>
    </row>
    <row r="33" ht="15.75" customHeight="1">
      <c r="A33" s="73"/>
      <c r="B33" s="74" t="s">
        <v>422</v>
      </c>
      <c r="K33" s="90"/>
    </row>
    <row r="34" ht="15.75" customHeight="1">
      <c r="A34" s="73" t="s">
        <v>390</v>
      </c>
      <c r="B34" s="74" t="s">
        <v>423</v>
      </c>
      <c r="C34" s="75">
        <f>'RC'!C140</f>
        <v>-501648</v>
      </c>
      <c r="D34" s="75">
        <f>'RC'!D140</f>
        <v>-526256</v>
      </c>
      <c r="E34" s="75">
        <f>'RC'!E140</f>
        <v>-253466</v>
      </c>
      <c r="F34" s="75">
        <f>'RC'!F140</f>
        <v>-207017</v>
      </c>
      <c r="G34" s="75">
        <f>'RC'!G140</f>
        <v>-158955</v>
      </c>
      <c r="H34" s="75">
        <f>'RC'!H140</f>
        <v>-98799</v>
      </c>
      <c r="I34" s="75">
        <f>'RC'!I140</f>
        <v>-101816</v>
      </c>
      <c r="J34" s="75">
        <f>'RC'!J140</f>
        <v>-102408</v>
      </c>
    </row>
    <row r="35" ht="15.75" customHeight="1">
      <c r="A35" s="73" t="s">
        <v>385</v>
      </c>
      <c r="B35" s="74" t="s">
        <v>424</v>
      </c>
      <c r="C35" s="75">
        <f>-'RC'!C157</f>
        <v>-86500.05589</v>
      </c>
      <c r="D35" s="75">
        <f>-'RC'!D157</f>
        <v>-21727.93357</v>
      </c>
      <c r="E35" s="75">
        <f>-'RC'!E157</f>
        <v>-11389.95065</v>
      </c>
      <c r="F35" s="75">
        <f>-'RC'!F157</f>
        <v>-41762.51323</v>
      </c>
      <c r="G35" s="75">
        <f>-'RC'!G157</f>
        <v>-36180.06641</v>
      </c>
      <c r="H35" s="75">
        <f>-'RC'!H157</f>
        <v>-22306.6809</v>
      </c>
      <c r="I35" s="75">
        <f>-'RC'!I157</f>
        <v>-30049.04413</v>
      </c>
      <c r="J35" s="75">
        <f>-'RC'!J157</f>
        <v>-32385.17008</v>
      </c>
    </row>
    <row r="36" ht="15.75" customHeight="1">
      <c r="A36" s="73" t="s">
        <v>385</v>
      </c>
      <c r="B36" s="74" t="s">
        <v>425</v>
      </c>
      <c r="C36" s="75">
        <f>-'RC'!C32+'RC'!C72</f>
        <v>0</v>
      </c>
      <c r="D36" s="75">
        <f>-'RC'!D32+'RC'!D72</f>
        <v>0</v>
      </c>
      <c r="E36" s="75">
        <f>-'RC'!E32+'RC'!E72</f>
        <v>0</v>
      </c>
      <c r="F36" s="75">
        <f>-'RC'!F32+'RC'!F72</f>
        <v>0</v>
      </c>
      <c r="G36" s="75">
        <f>-'RC'!G32+'RC'!G72</f>
        <v>0</v>
      </c>
      <c r="H36" s="75">
        <f>-'RC'!H32+'RC'!H72</f>
        <v>0</v>
      </c>
      <c r="I36" s="75">
        <f>-'RC'!I32+'RC'!I72</f>
        <v>0</v>
      </c>
      <c r="J36" s="75">
        <f>-'RC'!J32+'RC'!J72</f>
        <v>0</v>
      </c>
    </row>
    <row r="37" ht="15.75" customHeight="1">
      <c r="A37" s="73" t="s">
        <v>385</v>
      </c>
      <c r="B37" s="74" t="s">
        <v>426</v>
      </c>
      <c r="C37" s="75">
        <f>'RC'!C69</f>
        <v>5110204</v>
      </c>
      <c r="D37" s="75">
        <f>'RC'!D69</f>
        <v>6691873</v>
      </c>
      <c r="E37" s="75">
        <f>'RC'!E69</f>
        <v>6717513</v>
      </c>
      <c r="F37" s="75">
        <f>'RC'!F69</f>
        <v>7372195</v>
      </c>
      <c r="G37" s="75">
        <f>'RC'!G69</f>
        <v>6304053</v>
      </c>
      <c r="H37" s="75">
        <f>'RC'!H69</f>
        <v>588287</v>
      </c>
      <c r="I37" s="75">
        <f>'RC'!I69</f>
        <v>808395</v>
      </c>
      <c r="J37" s="75">
        <f>'RC'!J69</f>
        <v>952264</v>
      </c>
    </row>
    <row r="38" ht="15.75" customHeight="1">
      <c r="A38" s="73" t="s">
        <v>385</v>
      </c>
      <c r="B38" s="74" t="s">
        <v>427</v>
      </c>
      <c r="C38" s="75">
        <f>'RC'!C70</f>
        <v>3395729</v>
      </c>
      <c r="D38" s="75">
        <f>'RC'!D70</f>
        <v>3987958</v>
      </c>
      <c r="E38" s="75">
        <f>'RC'!E70</f>
        <v>4519855</v>
      </c>
      <c r="F38" s="75">
        <f>'RC'!F70</f>
        <v>3495497</v>
      </c>
      <c r="G38" s="75">
        <f>'RC'!G70</f>
        <v>2924240</v>
      </c>
      <c r="H38" s="75">
        <f>'RC'!H70</f>
        <v>3390744</v>
      </c>
      <c r="I38" s="75">
        <f>'RC'!I70</f>
        <v>1825387</v>
      </c>
      <c r="J38" s="75">
        <f>'RC'!J70</f>
        <v>1954310</v>
      </c>
    </row>
    <row r="39" ht="15.75" customHeight="1">
      <c r="A39" s="73" t="s">
        <v>390</v>
      </c>
      <c r="B39" s="74" t="s">
        <v>428</v>
      </c>
      <c r="C39" s="75">
        <f>-'RC'!C30</f>
        <v>0</v>
      </c>
      <c r="D39" s="75">
        <f>-'RC'!D30</f>
        <v>0</v>
      </c>
      <c r="E39" s="75">
        <f>-'RC'!E30</f>
        <v>0</v>
      </c>
      <c r="F39" s="75">
        <f>-'RC'!F30</f>
        <v>0</v>
      </c>
      <c r="G39" s="75">
        <f>-'RC'!G30</f>
        <v>0</v>
      </c>
      <c r="H39" s="75">
        <f>-'RC'!H30</f>
        <v>0</v>
      </c>
      <c r="I39" s="75">
        <f>-'RC'!I30</f>
        <v>0</v>
      </c>
      <c r="J39" s="75">
        <f>-'RC'!J30</f>
        <v>0</v>
      </c>
    </row>
    <row r="40" ht="15.75" customHeight="1">
      <c r="A40" s="79" t="s">
        <v>392</v>
      </c>
      <c r="B40" s="80" t="s">
        <v>429</v>
      </c>
      <c r="C40" s="78">
        <f t="shared" ref="C40:J40" si="8">SUM(C34:C39)</f>
        <v>7917784.944</v>
      </c>
      <c r="D40" s="78">
        <f t="shared" si="8"/>
        <v>10131847.07</v>
      </c>
      <c r="E40" s="78">
        <f t="shared" si="8"/>
        <v>10972512.05</v>
      </c>
      <c r="F40" s="78">
        <f t="shared" si="8"/>
        <v>10618912.49</v>
      </c>
      <c r="G40" s="78">
        <f t="shared" si="8"/>
        <v>9033157.934</v>
      </c>
      <c r="H40" s="78">
        <f t="shared" si="8"/>
        <v>3857925.319</v>
      </c>
      <c r="I40" s="78">
        <f t="shared" si="8"/>
        <v>2501916.956</v>
      </c>
      <c r="J40" s="78">
        <f t="shared" si="8"/>
        <v>2771780.83</v>
      </c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5.75" customHeight="1">
      <c r="A41" s="87" t="s">
        <v>392</v>
      </c>
      <c r="B41" s="88" t="s">
        <v>430</v>
      </c>
      <c r="C41" s="78">
        <f t="shared" ref="C41:J41" si="9">C31+C40</f>
        <v>-4615124</v>
      </c>
      <c r="D41" s="78">
        <f t="shared" si="9"/>
        <v>-3769343</v>
      </c>
      <c r="E41" s="78">
        <f t="shared" si="9"/>
        <v>-2824774</v>
      </c>
      <c r="F41" s="78">
        <f t="shared" si="9"/>
        <v>-851329</v>
      </c>
      <c r="G41" s="78">
        <f t="shared" si="9"/>
        <v>-296088</v>
      </c>
      <c r="H41" s="78">
        <f t="shared" si="9"/>
        <v>-1029153</v>
      </c>
      <c r="I41" s="78">
        <f t="shared" si="9"/>
        <v>-725578</v>
      </c>
      <c r="J41" s="78">
        <f t="shared" si="9"/>
        <v>14876</v>
      </c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73"/>
      <c r="B42" s="74" t="s">
        <v>431</v>
      </c>
    </row>
    <row r="43" ht="15.75" customHeight="1">
      <c r="A43" s="73" t="s">
        <v>390</v>
      </c>
      <c r="B43" s="74" t="s">
        <v>432</v>
      </c>
      <c r="C43" s="75">
        <f>'RC'!C79</f>
        <v>4717554</v>
      </c>
      <c r="D43" s="75">
        <f>'RC'!D79</f>
        <v>4520885</v>
      </c>
      <c r="E43" s="75">
        <f>'RC'!E79</f>
        <v>3842306</v>
      </c>
      <c r="F43" s="75">
        <f>'RC'!F79</f>
        <v>2981000</v>
      </c>
      <c r="G43" s="75">
        <f>'RC'!G79</f>
        <v>2144719</v>
      </c>
      <c r="H43" s="75">
        <f>'RC'!H79</f>
        <v>1493082</v>
      </c>
      <c r="I43" s="75">
        <f>'RC'!I79</f>
        <v>922656</v>
      </c>
      <c r="J43" s="75">
        <f>'RC'!J79</f>
        <v>557912</v>
      </c>
    </row>
    <row r="44" ht="15.75" customHeight="1">
      <c r="A44" s="73" t="s">
        <v>390</v>
      </c>
      <c r="B44" s="74" t="s">
        <v>433</v>
      </c>
      <c r="C44" s="75">
        <f>-'RC'!C81</f>
        <v>0</v>
      </c>
      <c r="D44" s="75">
        <f>-'RC'!D81</f>
        <v>0</v>
      </c>
      <c r="E44" s="75">
        <f>-'RC'!E81</f>
        <v>0</v>
      </c>
      <c r="F44" s="75">
        <f>-'RC'!F81</f>
        <v>0</v>
      </c>
      <c r="G44" s="75">
        <f>-'RC'!G81</f>
        <v>0</v>
      </c>
      <c r="H44" s="75">
        <f>-'RC'!H81</f>
        <v>0</v>
      </c>
      <c r="I44" s="75">
        <f>-'RC'!I81</f>
        <v>0</v>
      </c>
      <c r="J44" s="75">
        <f>-'RC'!J81</f>
        <v>0</v>
      </c>
    </row>
    <row r="45" ht="15.75" customHeight="1">
      <c r="A45" s="73" t="s">
        <v>385</v>
      </c>
      <c r="B45" s="74" t="s">
        <v>434</v>
      </c>
      <c r="C45" s="75">
        <f>'RC'!C76</f>
        <v>0</v>
      </c>
      <c r="D45" s="75">
        <f>'RC'!D76</f>
        <v>0</v>
      </c>
      <c r="E45" s="75">
        <f>'RC'!E76</f>
        <v>0</v>
      </c>
      <c r="F45" s="75">
        <f>'RC'!F76</f>
        <v>0</v>
      </c>
      <c r="G45" s="75">
        <f>'RC'!G76</f>
        <v>0</v>
      </c>
      <c r="H45" s="75">
        <f>'RC'!H76</f>
        <v>0</v>
      </c>
      <c r="I45" s="75">
        <f>'RC'!I76</f>
        <v>0</v>
      </c>
      <c r="J45" s="75">
        <f>'RC'!J76</f>
        <v>0</v>
      </c>
    </row>
    <row r="46" ht="15.75" customHeight="1">
      <c r="A46" s="73" t="s">
        <v>385</v>
      </c>
      <c r="B46" s="74" t="s">
        <v>435</v>
      </c>
      <c r="C46" s="75">
        <f>'RC'!C78</f>
        <v>140000</v>
      </c>
      <c r="D46" s="75">
        <f>'RC'!D78</f>
        <v>140000</v>
      </c>
      <c r="E46" s="75">
        <f>'RC'!E78</f>
        <v>140000</v>
      </c>
      <c r="F46" s="75">
        <f>'RC'!F78</f>
        <v>140000</v>
      </c>
      <c r="G46" s="75">
        <f>'RC'!G78</f>
        <v>140000</v>
      </c>
      <c r="H46" s="75">
        <f>'RC'!H78</f>
        <v>140000</v>
      </c>
      <c r="I46" s="75">
        <f>'RC'!I78</f>
        <v>140000</v>
      </c>
      <c r="J46" s="75">
        <f>'RC'!J78</f>
        <v>140000</v>
      </c>
    </row>
    <row r="47" ht="15.75" customHeight="1">
      <c r="A47" s="73" t="s">
        <v>385</v>
      </c>
      <c r="B47" s="74" t="s">
        <v>436</v>
      </c>
      <c r="C47" s="75">
        <f>'RC'!C83</f>
        <v>0</v>
      </c>
      <c r="D47" s="75">
        <f>'RC'!D83</f>
        <v>0</v>
      </c>
      <c r="E47" s="75">
        <f>'RC'!E83</f>
        <v>0</v>
      </c>
      <c r="F47" s="75">
        <f>'RC'!F83</f>
        <v>0</v>
      </c>
      <c r="G47" s="75">
        <f>'RC'!G83</f>
        <v>0</v>
      </c>
      <c r="H47" s="75">
        <f>'RC'!H83</f>
        <v>0</v>
      </c>
      <c r="I47" s="75">
        <f>'RC'!I83</f>
        <v>0</v>
      </c>
      <c r="J47" s="75">
        <f>'RC'!J83</f>
        <v>0</v>
      </c>
    </row>
    <row r="48" ht="15.75" customHeight="1">
      <c r="A48" s="71" t="s">
        <v>392</v>
      </c>
      <c r="B48" s="72" t="s">
        <v>437</v>
      </c>
      <c r="C48" s="78">
        <f t="shared" ref="C48:J48" si="10">SUM(C43:C47)</f>
        <v>4857554</v>
      </c>
      <c r="D48" s="78">
        <f t="shared" si="10"/>
        <v>4660885</v>
      </c>
      <c r="E48" s="78">
        <f t="shared" si="10"/>
        <v>3982306</v>
      </c>
      <c r="F48" s="78">
        <f t="shared" si="10"/>
        <v>3121000</v>
      </c>
      <c r="G48" s="78">
        <f t="shared" si="10"/>
        <v>2284719</v>
      </c>
      <c r="H48" s="78">
        <f t="shared" si="10"/>
        <v>1633082</v>
      </c>
      <c r="I48" s="78">
        <f t="shared" si="10"/>
        <v>1062656</v>
      </c>
      <c r="J48" s="78">
        <f t="shared" si="10"/>
        <v>697912</v>
      </c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76" t="s">
        <v>392</v>
      </c>
      <c r="B49" s="77" t="s">
        <v>438</v>
      </c>
      <c r="C49" s="78">
        <f t="shared" ref="C49:J49" si="11">C41+C48</f>
        <v>242430</v>
      </c>
      <c r="D49" s="78">
        <f t="shared" si="11"/>
        <v>891542</v>
      </c>
      <c r="E49" s="78">
        <f t="shared" si="11"/>
        <v>1157532</v>
      </c>
      <c r="F49" s="78">
        <f t="shared" si="11"/>
        <v>2269671</v>
      </c>
      <c r="G49" s="78">
        <f t="shared" si="11"/>
        <v>1988631</v>
      </c>
      <c r="H49" s="78">
        <f t="shared" si="11"/>
        <v>603929</v>
      </c>
      <c r="I49" s="78">
        <f t="shared" si="11"/>
        <v>337078</v>
      </c>
      <c r="J49" s="78">
        <f t="shared" si="11"/>
        <v>712788</v>
      </c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5.75" customHeight="1">
      <c r="A50" s="97"/>
      <c r="B50" s="97"/>
    </row>
    <row r="51" ht="15.75" customHeight="1">
      <c r="A51" s="98"/>
      <c r="B51" s="72" t="s">
        <v>439</v>
      </c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5.75" customHeight="1">
      <c r="A52" s="99" t="s">
        <v>385</v>
      </c>
      <c r="B52" s="100" t="s">
        <v>440</v>
      </c>
      <c r="C52" s="75">
        <f>'RC'!C31</f>
        <v>242430</v>
      </c>
      <c r="D52" s="75">
        <f>'RC'!D31</f>
        <v>891542</v>
      </c>
      <c r="E52" s="75">
        <f>'RC'!E31</f>
        <v>1157532</v>
      </c>
      <c r="F52" s="75">
        <f>'RC'!F31</f>
        <v>2269671</v>
      </c>
      <c r="G52" s="75">
        <f>'RC'!G31</f>
        <v>1988631</v>
      </c>
      <c r="H52" s="75">
        <f>'RC'!H31</f>
        <v>603929</v>
      </c>
      <c r="I52" s="75">
        <f>'RC'!I31</f>
        <v>337078</v>
      </c>
      <c r="J52" s="75">
        <f>'RC'!J31</f>
        <v>712788</v>
      </c>
    </row>
    <row r="53" ht="15.75" customHeight="1">
      <c r="A53" s="99" t="s">
        <v>390</v>
      </c>
      <c r="B53" s="101" t="s">
        <v>441</v>
      </c>
      <c r="C53" s="75">
        <f>-'RC'!C71</f>
        <v>0</v>
      </c>
      <c r="D53" s="75">
        <f>-'RC'!D71</f>
        <v>0</v>
      </c>
      <c r="E53" s="75">
        <f>-'RC'!E71</f>
        <v>0</v>
      </c>
      <c r="F53" s="75">
        <f>-'RC'!F71</f>
        <v>0</v>
      </c>
      <c r="G53" s="75">
        <f>-'RC'!G71</f>
        <v>0</v>
      </c>
      <c r="H53" s="75">
        <f>-'RC'!H71</f>
        <v>0</v>
      </c>
      <c r="I53" s="75">
        <f>-'RC'!I71</f>
        <v>0</v>
      </c>
      <c r="J53" s="75">
        <f>-'RC'!J71</f>
        <v>0</v>
      </c>
    </row>
    <row r="54" ht="15.75" customHeight="1">
      <c r="A54" s="99" t="s">
        <v>392</v>
      </c>
      <c r="B54" s="101" t="s">
        <v>442</v>
      </c>
      <c r="C54" s="75">
        <f t="shared" ref="C54:J54" si="12">C52+C53</f>
        <v>242430</v>
      </c>
      <c r="D54" s="75">
        <f t="shared" si="12"/>
        <v>891542</v>
      </c>
      <c r="E54" s="75">
        <f t="shared" si="12"/>
        <v>1157532</v>
      </c>
      <c r="F54" s="75">
        <f t="shared" si="12"/>
        <v>2269671</v>
      </c>
      <c r="G54" s="75">
        <f t="shared" si="12"/>
        <v>1988631</v>
      </c>
      <c r="H54" s="75">
        <f t="shared" si="12"/>
        <v>603929</v>
      </c>
      <c r="I54" s="75">
        <f t="shared" si="12"/>
        <v>337078</v>
      </c>
      <c r="J54" s="75">
        <f t="shared" si="12"/>
        <v>712788</v>
      </c>
    </row>
    <row r="55" ht="15.75" customHeight="1">
      <c r="A55" s="98" t="s">
        <v>392</v>
      </c>
      <c r="B55" s="102" t="s">
        <v>443</v>
      </c>
      <c r="C55" s="78">
        <f t="shared" ref="C55:J55" si="13">C49</f>
        <v>242430</v>
      </c>
      <c r="D55" s="78">
        <f t="shared" si="13"/>
        <v>891542</v>
      </c>
      <c r="E55" s="78">
        <f t="shared" si="13"/>
        <v>1157532</v>
      </c>
      <c r="F55" s="78">
        <f t="shared" si="13"/>
        <v>2269671</v>
      </c>
      <c r="G55" s="78">
        <f t="shared" si="13"/>
        <v>1988631</v>
      </c>
      <c r="H55" s="78">
        <f t="shared" si="13"/>
        <v>603929</v>
      </c>
      <c r="I55" s="78">
        <f t="shared" si="13"/>
        <v>337078</v>
      </c>
      <c r="J55" s="78">
        <f t="shared" si="13"/>
        <v>712788</v>
      </c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98"/>
      <c r="B56" s="102" t="s">
        <v>444</v>
      </c>
      <c r="C56" s="78">
        <f t="shared" ref="C56:J56" si="14">C54-C55</f>
        <v>0</v>
      </c>
      <c r="D56" s="78">
        <f t="shared" si="14"/>
        <v>0</v>
      </c>
      <c r="E56" s="78">
        <f t="shared" si="14"/>
        <v>0</v>
      </c>
      <c r="F56" s="78">
        <f t="shared" si="14"/>
        <v>0</v>
      </c>
      <c r="G56" s="78">
        <f t="shared" si="14"/>
        <v>-0.000000001862645149</v>
      </c>
      <c r="H56" s="78">
        <f t="shared" si="14"/>
        <v>-0.0000000004656612873</v>
      </c>
      <c r="I56" s="78">
        <f t="shared" si="14"/>
        <v>0</v>
      </c>
      <c r="J56" s="78">
        <f t="shared" si="14"/>
        <v>0</v>
      </c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98"/>
      <c r="B57" s="102" t="s">
        <v>445</v>
      </c>
    </row>
    <row r="58" ht="15.75" customHeight="1">
      <c r="A58" s="99" t="s">
        <v>385</v>
      </c>
      <c r="B58" s="101" t="s">
        <v>446</v>
      </c>
      <c r="C58" s="75">
        <f t="shared" ref="C58:J58" si="15">C8</f>
        <v>2404683.056</v>
      </c>
      <c r="D58" s="75">
        <f t="shared" si="15"/>
        <v>2014478.934</v>
      </c>
      <c r="E58" s="75">
        <f t="shared" si="15"/>
        <v>1799487.951</v>
      </c>
      <c r="F58" s="75">
        <f t="shared" si="15"/>
        <v>1680372.513</v>
      </c>
      <c r="G58" s="75">
        <f t="shared" si="15"/>
        <v>1287696.066</v>
      </c>
      <c r="H58" s="75">
        <f t="shared" si="15"/>
        <v>1053339.681</v>
      </c>
      <c r="I58" s="75">
        <f t="shared" si="15"/>
        <v>987252.0441</v>
      </c>
      <c r="J58" s="75">
        <f t="shared" si="15"/>
        <v>714856.1701</v>
      </c>
    </row>
    <row r="59" ht="15.75" customHeight="1">
      <c r="A59" s="99" t="s">
        <v>390</v>
      </c>
      <c r="B59" s="101" t="s">
        <v>447</v>
      </c>
      <c r="C59" s="75">
        <f t="shared" ref="C59:J59" si="16">-C6</f>
        <v>-916802</v>
      </c>
      <c r="D59" s="75">
        <f t="shared" si="16"/>
        <v>-899828</v>
      </c>
      <c r="E59" s="75">
        <f t="shared" si="16"/>
        <v>-856051</v>
      </c>
      <c r="F59" s="75">
        <f t="shared" si="16"/>
        <v>-470290</v>
      </c>
      <c r="G59" s="75">
        <f t="shared" si="16"/>
        <v>-171279</v>
      </c>
      <c r="H59" s="75">
        <f t="shared" si="16"/>
        <v>-180598</v>
      </c>
      <c r="I59" s="75">
        <f t="shared" si="16"/>
        <v>-184962</v>
      </c>
      <c r="J59" s="75">
        <f t="shared" si="16"/>
        <v>-215317</v>
      </c>
    </row>
    <row r="60" ht="15.75" customHeight="1">
      <c r="A60" s="99" t="s">
        <v>390</v>
      </c>
      <c r="B60" s="101" t="s">
        <v>448</v>
      </c>
      <c r="C60" s="75">
        <f>-('RC'!C93+'RC'!C27-'RC'!C66-'RC'!C80)</f>
        <v>-14020790</v>
      </c>
      <c r="D60" s="75">
        <f>-('RC'!D93+'RC'!D27-'RC'!D66-'RC'!D80)</f>
        <v>-15015841</v>
      </c>
      <c r="E60" s="75">
        <f>-('RC'!E93+'RC'!E27-'RC'!E66-'RC'!E80)</f>
        <v>-14740723</v>
      </c>
      <c r="F60" s="75">
        <f>-('RC'!F93+'RC'!F27-'RC'!F66-'RC'!F80)</f>
        <v>-12680324</v>
      </c>
      <c r="G60" s="75">
        <f>-('RC'!G93+'RC'!G27-'RC'!G66-'RC'!G80)</f>
        <v>-10445663</v>
      </c>
      <c r="H60" s="75">
        <f>-('RC'!H93+'RC'!H27-'RC'!H66-'RC'!H80)</f>
        <v>-5759820</v>
      </c>
      <c r="I60" s="75">
        <f>-('RC'!I93+'RC'!I27-'RC'!I66-'RC'!I80)</f>
        <v>-4029785</v>
      </c>
      <c r="J60" s="75">
        <f>-('RC'!J93+'RC'!J27-'RC'!J66-'RC'!J80)</f>
        <v>-3256444</v>
      </c>
    </row>
    <row r="61" ht="15.75" customHeight="1">
      <c r="A61" s="99"/>
      <c r="B61" s="101" t="s">
        <v>449</v>
      </c>
      <c r="C61" s="75">
        <f t="shared" ref="C61:J61" si="17">C58+C59+C60</f>
        <v>-12532908.94</v>
      </c>
      <c r="D61" s="75">
        <f t="shared" si="17"/>
        <v>-13901190.07</v>
      </c>
      <c r="E61" s="75">
        <f t="shared" si="17"/>
        <v>-13797286.05</v>
      </c>
      <c r="F61" s="75">
        <f t="shared" si="17"/>
        <v>-11470241.49</v>
      </c>
      <c r="G61" s="75">
        <f t="shared" si="17"/>
        <v>-9329245.934</v>
      </c>
      <c r="H61" s="75">
        <f t="shared" si="17"/>
        <v>-4887078.319</v>
      </c>
      <c r="I61" s="75">
        <f t="shared" si="17"/>
        <v>-3227494.956</v>
      </c>
      <c r="J61" s="75">
        <f t="shared" si="17"/>
        <v>-2756904.83</v>
      </c>
    </row>
    <row r="62" ht="15.75" customHeight="1">
      <c r="A62" s="98" t="s">
        <v>392</v>
      </c>
      <c r="B62" s="102" t="s">
        <v>450</v>
      </c>
      <c r="C62" s="78">
        <f t="shared" ref="C62:J62" si="18">C31</f>
        <v>-12532908.94</v>
      </c>
      <c r="D62" s="78">
        <f t="shared" si="18"/>
        <v>-13901190.07</v>
      </c>
      <c r="E62" s="78">
        <f t="shared" si="18"/>
        <v>-13797286.05</v>
      </c>
      <c r="F62" s="78">
        <f t="shared" si="18"/>
        <v>-11470241.49</v>
      </c>
      <c r="G62" s="78">
        <f t="shared" si="18"/>
        <v>-9329245.934</v>
      </c>
      <c r="H62" s="78">
        <f t="shared" si="18"/>
        <v>-4887078.319</v>
      </c>
      <c r="I62" s="78">
        <f t="shared" si="18"/>
        <v>-3227494.956</v>
      </c>
      <c r="J62" s="78">
        <f t="shared" si="18"/>
        <v>-2756904.83</v>
      </c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98"/>
      <c r="B63" s="102" t="s">
        <v>451</v>
      </c>
      <c r="C63" s="78">
        <f t="shared" ref="C63:J63" si="19">C61-C62</f>
        <v>0</v>
      </c>
      <c r="D63" s="78">
        <f t="shared" si="19"/>
        <v>0</v>
      </c>
      <c r="E63" s="78">
        <f t="shared" si="19"/>
        <v>0</v>
      </c>
      <c r="F63" s="78">
        <f t="shared" si="19"/>
        <v>0</v>
      </c>
      <c r="G63" s="78">
        <f t="shared" si="19"/>
        <v>0</v>
      </c>
      <c r="H63" s="78">
        <f t="shared" si="19"/>
        <v>0</v>
      </c>
      <c r="I63" s="78">
        <f t="shared" si="19"/>
        <v>0</v>
      </c>
      <c r="J63" s="78">
        <f t="shared" si="19"/>
        <v>0</v>
      </c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98"/>
      <c r="B64" s="102" t="s">
        <v>452</v>
      </c>
    </row>
    <row r="65" ht="15.75" customHeight="1">
      <c r="A65" s="99" t="s">
        <v>385</v>
      </c>
      <c r="B65" s="101" t="s">
        <v>453</v>
      </c>
      <c r="C65" s="75">
        <f>'RC'!C150</f>
        <v>899733</v>
      </c>
      <c r="D65" s="75">
        <f>'RC'!D150</f>
        <v>566667</v>
      </c>
      <c r="E65" s="75">
        <f>'RC'!E150</f>
        <v>678581</v>
      </c>
      <c r="F65" s="75">
        <f>'RC'!F150</f>
        <v>961303</v>
      </c>
      <c r="G65" s="75">
        <f>'RC'!G150</f>
        <v>921282</v>
      </c>
      <c r="H65" s="75">
        <f>'RC'!H150</f>
        <v>751636</v>
      </c>
      <c r="I65" s="75">
        <f>'RC'!I150</f>
        <v>670425</v>
      </c>
      <c r="J65" s="75">
        <f>'RC'!J150</f>
        <v>364746</v>
      </c>
    </row>
    <row r="66" ht="15.75" customHeight="1">
      <c r="A66" s="99" t="s">
        <v>390</v>
      </c>
      <c r="B66" s="101" t="s">
        <v>454</v>
      </c>
      <c r="C66" s="75">
        <f>-('RC'!C93+'RC'!C27-'RC'!C66-'RC'!C80)</f>
        <v>-14020790</v>
      </c>
      <c r="D66" s="75">
        <f>-('RC'!D93+'RC'!D27-'RC'!D66-'RC'!D80)</f>
        <v>-15015841</v>
      </c>
      <c r="E66" s="75">
        <f>-('RC'!E93+'RC'!E27-'RC'!E66-'RC'!E80)</f>
        <v>-14740723</v>
      </c>
      <c r="F66" s="75">
        <f>-('RC'!F93+'RC'!F27-'RC'!F66-'RC'!F80)</f>
        <v>-12680324</v>
      </c>
      <c r="G66" s="75">
        <f>-('RC'!G93+'RC'!G27-'RC'!G66-'RC'!G80)</f>
        <v>-10445663</v>
      </c>
      <c r="H66" s="75">
        <f>-('RC'!H93+'RC'!H27-'RC'!H66-'RC'!H80)</f>
        <v>-5759820</v>
      </c>
      <c r="I66" s="75">
        <f>-('RC'!I93+'RC'!I27-'RC'!I66-'RC'!I80)</f>
        <v>-4029785</v>
      </c>
      <c r="J66" s="75">
        <f>-('RC'!J93+'RC'!J27-'RC'!J66-'RC'!J80)</f>
        <v>-3256444</v>
      </c>
    </row>
    <row r="67" ht="15.75" customHeight="1">
      <c r="A67" s="99" t="s">
        <v>385</v>
      </c>
      <c r="B67" s="101" t="s">
        <v>455</v>
      </c>
      <c r="C67" s="75">
        <f>'RC'!C69+'RC'!C70-'RC'!C30+'RC'!C72-'RC'!C32</f>
        <v>8505933</v>
      </c>
      <c r="D67" s="75">
        <f>'RC'!D69+'RC'!D70-'RC'!D30+'RC'!D72-'RC'!D32</f>
        <v>10679831</v>
      </c>
      <c r="E67" s="75">
        <f>'RC'!E69+'RC'!E70-'RC'!E30+'RC'!E72-'RC'!E32</f>
        <v>11237368</v>
      </c>
      <c r="F67" s="75">
        <f>'RC'!F69+'RC'!F70-'RC'!F30+'RC'!F72-'RC'!F32</f>
        <v>10867692</v>
      </c>
      <c r="G67" s="75">
        <f>'RC'!G69+'RC'!G70-'RC'!G30+'RC'!G72-'RC'!G32</f>
        <v>9228293</v>
      </c>
      <c r="H67" s="75">
        <f>'RC'!H69+'RC'!H70-'RC'!H30+'RC'!H72-'RC'!H32</f>
        <v>3979031</v>
      </c>
      <c r="I67" s="75">
        <f>'RC'!I69+'RC'!I70-'RC'!I30+'RC'!I72-'RC'!I32</f>
        <v>2633782</v>
      </c>
      <c r="J67" s="75">
        <f>'RC'!J69+'RC'!J70-'RC'!J30+'RC'!J72-'RC'!J32</f>
        <v>2906574</v>
      </c>
    </row>
    <row r="68" ht="15.75" customHeight="1">
      <c r="A68" s="99"/>
      <c r="B68" s="101" t="s">
        <v>449</v>
      </c>
      <c r="C68" s="75">
        <f t="shared" ref="C68:J68" si="20">C65+C66+C67</f>
        <v>-4615124</v>
      </c>
      <c r="D68" s="75">
        <f t="shared" si="20"/>
        <v>-3769343</v>
      </c>
      <c r="E68" s="75">
        <f t="shared" si="20"/>
        <v>-2824774</v>
      </c>
      <c r="F68" s="75">
        <f t="shared" si="20"/>
        <v>-851329</v>
      </c>
      <c r="G68" s="75">
        <f t="shared" si="20"/>
        <v>-296088</v>
      </c>
      <c r="H68" s="75">
        <f t="shared" si="20"/>
        <v>-1029153</v>
      </c>
      <c r="I68" s="75">
        <f t="shared" si="20"/>
        <v>-725578</v>
      </c>
      <c r="J68" s="75">
        <f t="shared" si="20"/>
        <v>14876</v>
      </c>
    </row>
    <row r="69" ht="15.75" customHeight="1">
      <c r="A69" s="98" t="s">
        <v>392</v>
      </c>
      <c r="B69" s="102" t="s">
        <v>456</v>
      </c>
      <c r="C69" s="78">
        <f t="shared" ref="C69:J69" si="21">C41</f>
        <v>-4615124</v>
      </c>
      <c r="D69" s="78">
        <f t="shared" si="21"/>
        <v>-3769343</v>
      </c>
      <c r="E69" s="78">
        <f t="shared" si="21"/>
        <v>-2824774</v>
      </c>
      <c r="F69" s="78">
        <f t="shared" si="21"/>
        <v>-851329</v>
      </c>
      <c r="G69" s="78">
        <f t="shared" si="21"/>
        <v>-296088</v>
      </c>
      <c r="H69" s="78">
        <f t="shared" si="21"/>
        <v>-1029153</v>
      </c>
      <c r="I69" s="78">
        <f t="shared" si="21"/>
        <v>-725578</v>
      </c>
      <c r="J69" s="78">
        <f t="shared" si="21"/>
        <v>14876</v>
      </c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98"/>
      <c r="B70" s="102" t="s">
        <v>457</v>
      </c>
      <c r="C70" s="78">
        <f t="shared" ref="C70:J70" si="22">C68-C69</f>
        <v>0</v>
      </c>
      <c r="D70" s="78">
        <f t="shared" si="22"/>
        <v>0</v>
      </c>
      <c r="E70" s="78">
        <f t="shared" si="22"/>
        <v>0</v>
      </c>
      <c r="F70" s="78">
        <f t="shared" si="22"/>
        <v>0</v>
      </c>
      <c r="G70" s="78">
        <f t="shared" si="22"/>
        <v>-0.000000001862645149</v>
      </c>
      <c r="H70" s="78">
        <f t="shared" si="22"/>
        <v>-0.0000000004656612873</v>
      </c>
      <c r="I70" s="78">
        <f t="shared" si="22"/>
        <v>0</v>
      </c>
      <c r="J70" s="78">
        <f t="shared" si="22"/>
        <v>0</v>
      </c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97"/>
      <c r="B71" s="97"/>
    </row>
    <row r="72" ht="15.75" customHeight="1">
      <c r="A72" s="97"/>
      <c r="B72" s="97"/>
    </row>
    <row r="73" ht="15.75" customHeight="1">
      <c r="A73" s="97"/>
      <c r="B73" s="97"/>
    </row>
    <row r="74" ht="15.75" customHeight="1">
      <c r="A74" s="97"/>
      <c r="B74" s="97"/>
    </row>
    <row r="75" ht="15.75" customHeight="1">
      <c r="A75" s="97"/>
      <c r="B75" s="97"/>
    </row>
    <row r="76" ht="15.75" customHeight="1">
      <c r="A76" s="97"/>
      <c r="B76" s="97"/>
    </row>
    <row r="77" ht="15.75" customHeight="1">
      <c r="A77" s="97"/>
      <c r="B77" s="97"/>
    </row>
    <row r="78" ht="15.75" customHeight="1">
      <c r="A78" s="97"/>
      <c r="B78" s="97"/>
    </row>
    <row r="79" ht="15.75" customHeight="1">
      <c r="A79" s="97"/>
      <c r="B79" s="97"/>
    </row>
    <row r="80" ht="15.75" customHeight="1">
      <c r="A80" s="97"/>
      <c r="B80" s="97"/>
    </row>
    <row r="81" ht="15.75" customHeight="1">
      <c r="A81" s="97"/>
      <c r="B81" s="97"/>
    </row>
    <row r="82" ht="15.75" customHeight="1">
      <c r="A82" s="97"/>
      <c r="B82" s="97"/>
    </row>
    <row r="83" ht="15.75" customHeight="1">
      <c r="A83" s="97"/>
      <c r="B83" s="97"/>
    </row>
    <row r="84" ht="15.75" customHeight="1">
      <c r="A84" s="97"/>
      <c r="B84" s="97"/>
    </row>
    <row r="85" ht="15.75" customHeight="1">
      <c r="A85" s="97"/>
      <c r="B85" s="97"/>
    </row>
    <row r="86" ht="15.75" customHeight="1">
      <c r="A86" s="97"/>
      <c r="B86" s="97"/>
    </row>
    <row r="87" ht="15.75" customHeight="1">
      <c r="A87" s="97"/>
      <c r="B87" s="97"/>
    </row>
    <row r="88" ht="15.75" customHeight="1">
      <c r="A88" s="97"/>
      <c r="B88" s="97"/>
    </row>
    <row r="89" ht="15.75" customHeight="1">
      <c r="A89" s="97"/>
      <c r="B89" s="97"/>
    </row>
    <row r="90" ht="15.75" customHeight="1">
      <c r="A90" s="97"/>
      <c r="B90" s="97"/>
    </row>
    <row r="91" ht="15.75" customHeight="1">
      <c r="A91" s="97"/>
      <c r="B91" s="97"/>
    </row>
    <row r="92" ht="15.75" customHeight="1">
      <c r="A92" s="97"/>
      <c r="B92" s="97"/>
    </row>
    <row r="93" ht="15.75" customHeight="1">
      <c r="A93" s="97"/>
      <c r="B93" s="97"/>
    </row>
    <row r="94" ht="15.75" customHeight="1">
      <c r="A94" s="97"/>
      <c r="B94" s="97"/>
    </row>
    <row r="95" ht="15.75" customHeight="1">
      <c r="A95" s="97"/>
      <c r="B95" s="97"/>
    </row>
    <row r="96" ht="15.75" customHeight="1">
      <c r="A96" s="97"/>
      <c r="B96" s="97"/>
    </row>
    <row r="97" ht="15.75" customHeight="1">
      <c r="A97" s="97"/>
      <c r="B97" s="97"/>
    </row>
    <row r="98" ht="15.75" customHeight="1">
      <c r="A98" s="97"/>
      <c r="B98" s="97"/>
    </row>
    <row r="99" ht="15.75" customHeight="1">
      <c r="A99" s="97"/>
      <c r="B99" s="97"/>
    </row>
    <row r="100" ht="15.75" customHeight="1">
      <c r="A100" s="97"/>
      <c r="B100" s="97"/>
    </row>
    <row r="101" ht="15.75" customHeight="1">
      <c r="A101" s="97"/>
      <c r="B101" s="97"/>
    </row>
    <row r="102" ht="15.75" customHeight="1">
      <c r="A102" s="97"/>
      <c r="B102" s="97"/>
    </row>
    <row r="103" ht="15.75" customHeight="1">
      <c r="A103" s="97"/>
      <c r="B103" s="97"/>
    </row>
    <row r="104" ht="15.75" customHeight="1">
      <c r="A104" s="97"/>
      <c r="B104" s="97"/>
    </row>
    <row r="105" ht="15.75" customHeight="1">
      <c r="A105" s="97"/>
      <c r="B105" s="97"/>
    </row>
    <row r="106" ht="15.75" customHeight="1">
      <c r="A106" s="97"/>
      <c r="B106" s="97"/>
    </row>
    <row r="107" ht="15.75" customHeight="1">
      <c r="A107" s="97"/>
      <c r="B107" s="97"/>
    </row>
    <row r="108" ht="15.75" customHeight="1">
      <c r="A108" s="97"/>
      <c r="B108" s="97"/>
    </row>
    <row r="109" ht="15.75" customHeight="1">
      <c r="A109" s="97"/>
      <c r="B109" s="97"/>
    </row>
    <row r="110" ht="15.75" customHeight="1">
      <c r="A110" s="97"/>
      <c r="B110" s="97"/>
    </row>
    <row r="111" ht="15.75" customHeight="1">
      <c r="A111" s="97"/>
      <c r="B111" s="97"/>
    </row>
    <row r="112" ht="15.75" customHeight="1">
      <c r="A112" s="97"/>
      <c r="B112" s="97"/>
    </row>
    <row r="113" ht="15.75" customHeight="1">
      <c r="A113" s="97"/>
      <c r="B113" s="97"/>
    </row>
    <row r="114" ht="15.75" customHeight="1">
      <c r="A114" s="97"/>
      <c r="B114" s="97"/>
    </row>
    <row r="115" ht="15.75" customHeight="1">
      <c r="A115" s="97"/>
      <c r="B115" s="97"/>
    </row>
    <row r="116" ht="15.75" customHeight="1">
      <c r="A116" s="97"/>
      <c r="B116" s="97"/>
    </row>
    <row r="117" ht="15.75" customHeight="1">
      <c r="A117" s="97"/>
      <c r="B117" s="97"/>
    </row>
    <row r="118" ht="15.75" customHeight="1">
      <c r="A118" s="97"/>
      <c r="B118" s="97"/>
    </row>
    <row r="119" ht="15.75" customHeight="1">
      <c r="A119" s="97"/>
      <c r="B119" s="97"/>
    </row>
    <row r="120" ht="15.75" customHeight="1">
      <c r="A120" s="97"/>
      <c r="B120" s="97"/>
    </row>
    <row r="121" ht="15.75" customHeight="1">
      <c r="A121" s="97"/>
      <c r="B121" s="97"/>
    </row>
    <row r="122" ht="15.75" customHeight="1">
      <c r="A122" s="97"/>
      <c r="B122" s="97"/>
    </row>
    <row r="123" ht="15.75" customHeight="1">
      <c r="A123" s="97"/>
      <c r="B123" s="97"/>
    </row>
    <row r="124" ht="15.75" customHeight="1">
      <c r="A124" s="97"/>
      <c r="B124" s="97"/>
    </row>
    <row r="125" ht="15.75" customHeight="1">
      <c r="A125" s="97"/>
      <c r="B125" s="97"/>
    </row>
    <row r="126" ht="15.75" customHeight="1">
      <c r="A126" s="97"/>
      <c r="B126" s="97"/>
    </row>
    <row r="127" ht="15.75" customHeight="1">
      <c r="A127" s="97"/>
      <c r="B127" s="97"/>
    </row>
    <row r="128" ht="15.75" customHeight="1">
      <c r="A128" s="97"/>
      <c r="B128" s="97"/>
    </row>
    <row r="129" ht="15.75" customHeight="1">
      <c r="A129" s="97"/>
      <c r="B129" s="97"/>
    </row>
    <row r="130" ht="15.75" customHeight="1">
      <c r="A130" s="97"/>
      <c r="B130" s="97"/>
    </row>
    <row r="131" ht="15.75" customHeight="1">
      <c r="A131" s="97"/>
      <c r="B131" s="97"/>
    </row>
    <row r="132" ht="15.75" customHeight="1">
      <c r="A132" s="97"/>
      <c r="B132" s="97"/>
    </row>
    <row r="133" ht="15.75" customHeight="1">
      <c r="A133" s="97"/>
      <c r="B133" s="97"/>
    </row>
    <row r="134" ht="15.75" customHeight="1">
      <c r="A134" s="97"/>
      <c r="B134" s="97"/>
    </row>
    <row r="135" ht="15.75" customHeight="1">
      <c r="A135" s="97"/>
      <c r="B135" s="97"/>
    </row>
    <row r="136" ht="15.75" customHeight="1">
      <c r="A136" s="97"/>
      <c r="B136" s="97"/>
    </row>
    <row r="137" ht="15.75" customHeight="1">
      <c r="A137" s="97"/>
      <c r="B137" s="97"/>
    </row>
    <row r="138" ht="15.75" customHeight="1">
      <c r="A138" s="97"/>
      <c r="B138" s="97"/>
    </row>
    <row r="139" ht="15.75" customHeight="1">
      <c r="A139" s="97"/>
      <c r="B139" s="97"/>
    </row>
    <row r="140" ht="15.75" customHeight="1">
      <c r="A140" s="97"/>
      <c r="B140" s="97"/>
    </row>
    <row r="141" ht="15.75" customHeight="1">
      <c r="A141" s="97"/>
      <c r="B141" s="97"/>
    </row>
    <row r="142" ht="15.75" customHeight="1">
      <c r="A142" s="97"/>
      <c r="B142" s="97"/>
    </row>
    <row r="143" ht="15.75" customHeight="1">
      <c r="A143" s="97"/>
      <c r="B143" s="97"/>
    </row>
    <row r="144" ht="15.75" customHeight="1">
      <c r="A144" s="97"/>
      <c r="B144" s="97"/>
    </row>
    <row r="145" ht="15.75" customHeight="1">
      <c r="A145" s="97"/>
      <c r="B145" s="97"/>
    </row>
    <row r="146" ht="15.75" customHeight="1">
      <c r="A146" s="97"/>
      <c r="B146" s="97"/>
    </row>
    <row r="147" ht="15.75" customHeight="1">
      <c r="A147" s="97"/>
      <c r="B147" s="97"/>
    </row>
    <row r="148" ht="15.75" customHeight="1">
      <c r="A148" s="97"/>
      <c r="B148" s="97"/>
    </row>
    <row r="149" ht="15.75" customHeight="1">
      <c r="A149" s="97"/>
      <c r="B149" s="97"/>
    </row>
    <row r="150" ht="15.75" customHeight="1">
      <c r="A150" s="97"/>
      <c r="B150" s="97"/>
    </row>
    <row r="151" ht="15.75" customHeight="1">
      <c r="A151" s="97"/>
      <c r="B151" s="97"/>
    </row>
    <row r="152" ht="15.75" customHeight="1">
      <c r="A152" s="97"/>
      <c r="B152" s="97"/>
    </row>
    <row r="153" ht="15.75" customHeight="1">
      <c r="A153" s="97"/>
      <c r="B153" s="97"/>
    </row>
    <row r="154" ht="15.75" customHeight="1">
      <c r="A154" s="97"/>
      <c r="B154" s="97"/>
    </row>
    <row r="155" ht="15.75" customHeight="1">
      <c r="A155" s="97"/>
      <c r="B155" s="97"/>
    </row>
    <row r="156" ht="15.75" customHeight="1">
      <c r="A156" s="97"/>
      <c r="B156" s="97"/>
    </row>
    <row r="157" ht="15.75" customHeight="1">
      <c r="A157" s="97"/>
      <c r="B157" s="97"/>
    </row>
    <row r="158" ht="15.75" customHeight="1">
      <c r="A158" s="97"/>
      <c r="B158" s="97"/>
    </row>
    <row r="159" ht="15.75" customHeight="1">
      <c r="A159" s="97"/>
      <c r="B159" s="97"/>
    </row>
    <row r="160" ht="15.75" customHeight="1">
      <c r="A160" s="97"/>
      <c r="B160" s="97"/>
    </row>
    <row r="161" ht="15.75" customHeight="1">
      <c r="A161" s="97"/>
      <c r="B161" s="97"/>
    </row>
    <row r="162" ht="15.75" customHeight="1">
      <c r="A162" s="97"/>
      <c r="B162" s="97"/>
    </row>
    <row r="163" ht="15.75" customHeight="1">
      <c r="A163" s="97"/>
      <c r="B163" s="97"/>
    </row>
    <row r="164" ht="15.75" customHeight="1">
      <c r="A164" s="97"/>
      <c r="B164" s="97"/>
    </row>
    <row r="165" ht="15.75" customHeight="1">
      <c r="A165" s="97"/>
      <c r="B165" s="97"/>
    </row>
    <row r="166" ht="15.75" customHeight="1">
      <c r="A166" s="97"/>
      <c r="B166" s="97"/>
    </row>
    <row r="167" ht="15.75" customHeight="1">
      <c r="A167" s="97"/>
      <c r="B167" s="97"/>
    </row>
    <row r="168" ht="15.75" customHeight="1">
      <c r="A168" s="97"/>
      <c r="B168" s="97"/>
    </row>
    <row r="169" ht="15.75" customHeight="1">
      <c r="A169" s="97"/>
      <c r="B169" s="97"/>
    </row>
    <row r="170" ht="15.75" customHeight="1">
      <c r="A170" s="97"/>
      <c r="B170" s="97"/>
    </row>
    <row r="171" ht="15.75" customHeight="1">
      <c r="A171" s="97"/>
      <c r="B171" s="97"/>
    </row>
    <row r="172" ht="15.75" customHeight="1">
      <c r="A172" s="97"/>
      <c r="B172" s="97"/>
    </row>
    <row r="173" ht="15.75" customHeight="1">
      <c r="A173" s="97"/>
      <c r="B173" s="97"/>
    </row>
    <row r="174" ht="15.75" customHeight="1">
      <c r="A174" s="97"/>
      <c r="B174" s="97"/>
    </row>
    <row r="175" ht="15.75" customHeight="1">
      <c r="A175" s="97"/>
      <c r="B175" s="97"/>
    </row>
    <row r="176" ht="15.75" customHeight="1">
      <c r="A176" s="97"/>
      <c r="B176" s="97"/>
    </row>
    <row r="177" ht="15.75" customHeight="1">
      <c r="A177" s="97"/>
      <c r="B177" s="97"/>
    </row>
    <row r="178" ht="15.75" customHeight="1">
      <c r="A178" s="97"/>
      <c r="B178" s="97"/>
    </row>
    <row r="179" ht="15.75" customHeight="1">
      <c r="A179" s="97"/>
      <c r="B179" s="97"/>
    </row>
    <row r="180" ht="15.75" customHeight="1">
      <c r="A180" s="97"/>
      <c r="B180" s="97"/>
    </row>
    <row r="181" ht="15.75" customHeight="1">
      <c r="A181" s="97"/>
      <c r="B181" s="97"/>
    </row>
    <row r="182" ht="15.75" customHeight="1">
      <c r="A182" s="97"/>
      <c r="B182" s="97"/>
    </row>
    <row r="183" ht="15.75" customHeight="1">
      <c r="A183" s="97"/>
      <c r="B183" s="97"/>
    </row>
    <row r="184" ht="15.75" customHeight="1">
      <c r="A184" s="97"/>
      <c r="B184" s="97"/>
    </row>
    <row r="185" ht="15.75" customHeight="1">
      <c r="A185" s="97"/>
      <c r="B185" s="97"/>
    </row>
    <row r="186" ht="15.75" customHeight="1">
      <c r="A186" s="97"/>
      <c r="B186" s="97"/>
    </row>
    <row r="187" ht="15.75" customHeight="1">
      <c r="A187" s="97"/>
      <c r="B187" s="97"/>
    </row>
    <row r="188" ht="15.75" customHeight="1">
      <c r="A188" s="97"/>
      <c r="B188" s="97"/>
    </row>
    <row r="189" ht="15.75" customHeight="1">
      <c r="A189" s="97"/>
      <c r="B189" s="97"/>
    </row>
    <row r="190" ht="15.75" customHeight="1">
      <c r="A190" s="97"/>
      <c r="B190" s="97"/>
    </row>
    <row r="191" ht="15.75" customHeight="1">
      <c r="A191" s="97"/>
      <c r="B191" s="97"/>
    </row>
    <row r="192" ht="15.75" customHeight="1">
      <c r="A192" s="97"/>
      <c r="B192" s="97"/>
    </row>
    <row r="193" ht="15.75" customHeight="1">
      <c r="A193" s="97"/>
      <c r="B193" s="97"/>
    </row>
    <row r="194" ht="15.75" customHeight="1">
      <c r="A194" s="97"/>
      <c r="B194" s="97"/>
    </row>
    <row r="195" ht="15.75" customHeight="1">
      <c r="A195" s="97"/>
      <c r="B195" s="97"/>
    </row>
    <row r="196" ht="15.75" customHeight="1">
      <c r="A196" s="97"/>
      <c r="B196" s="97"/>
    </row>
    <row r="197" ht="15.75" customHeight="1">
      <c r="A197" s="97"/>
      <c r="B197" s="97"/>
    </row>
    <row r="198" ht="15.75" customHeight="1">
      <c r="A198" s="97"/>
      <c r="B198" s="97"/>
    </row>
    <row r="199" ht="15.75" customHeight="1">
      <c r="A199" s="97"/>
      <c r="B199" s="97"/>
    </row>
    <row r="200" ht="15.75" customHeight="1">
      <c r="A200" s="97"/>
      <c r="B200" s="97"/>
    </row>
    <row r="201" ht="15.75" customHeight="1">
      <c r="A201" s="97"/>
      <c r="B201" s="97"/>
    </row>
    <row r="202" ht="15.75" customHeight="1">
      <c r="A202" s="97"/>
      <c r="B202" s="97"/>
    </row>
    <row r="203" ht="15.75" customHeight="1">
      <c r="A203" s="97"/>
      <c r="B203" s="97"/>
    </row>
    <row r="204" ht="15.75" customHeight="1">
      <c r="A204" s="97"/>
      <c r="B204" s="97"/>
    </row>
    <row r="205" ht="15.75" customHeight="1">
      <c r="A205" s="97"/>
      <c r="B205" s="97"/>
    </row>
    <row r="206" ht="15.75" customHeight="1">
      <c r="A206" s="97"/>
      <c r="B206" s="97"/>
    </row>
    <row r="207" ht="15.75" customHeight="1">
      <c r="A207" s="97"/>
      <c r="B207" s="97"/>
    </row>
    <row r="208" ht="15.75" customHeight="1">
      <c r="A208" s="97"/>
      <c r="B208" s="97"/>
    </row>
    <row r="209" ht="15.75" customHeight="1">
      <c r="A209" s="97"/>
      <c r="B209" s="97"/>
    </row>
    <row r="210" ht="15.75" customHeight="1">
      <c r="A210" s="97"/>
      <c r="B210" s="97"/>
    </row>
    <row r="211" ht="15.75" customHeight="1">
      <c r="A211" s="97"/>
      <c r="B211" s="97"/>
    </row>
    <row r="212" ht="15.75" customHeight="1">
      <c r="A212" s="97"/>
      <c r="B212" s="97"/>
    </row>
    <row r="213" ht="15.75" customHeight="1">
      <c r="A213" s="97"/>
      <c r="B213" s="97"/>
    </row>
    <row r="214" ht="15.75" customHeight="1">
      <c r="A214" s="97"/>
      <c r="B214" s="97"/>
    </row>
    <row r="215" ht="15.75" customHeight="1">
      <c r="A215" s="97"/>
      <c r="B215" s="97"/>
    </row>
    <row r="216" ht="15.75" customHeight="1">
      <c r="A216" s="97"/>
      <c r="B216" s="97"/>
    </row>
    <row r="217" ht="15.75" customHeight="1">
      <c r="A217" s="97"/>
      <c r="B217" s="97"/>
    </row>
    <row r="218" ht="15.75" customHeight="1">
      <c r="A218" s="97"/>
      <c r="B218" s="97"/>
    </row>
    <row r="219" ht="15.75" customHeight="1">
      <c r="A219" s="97"/>
      <c r="B219" s="97"/>
    </row>
    <row r="220" ht="15.75" customHeight="1">
      <c r="A220" s="97"/>
      <c r="B220" s="97"/>
    </row>
    <row r="221" ht="15.75" customHeight="1">
      <c r="A221" s="97"/>
      <c r="B221" s="97"/>
    </row>
    <row r="222" ht="15.75" customHeight="1">
      <c r="A222" s="97"/>
      <c r="B222" s="97"/>
    </row>
    <row r="223" ht="15.75" customHeight="1">
      <c r="A223" s="97"/>
      <c r="B223" s="97"/>
    </row>
    <row r="224" ht="15.75" customHeight="1">
      <c r="A224" s="97"/>
      <c r="B224" s="97"/>
    </row>
    <row r="225" ht="15.75" customHeight="1">
      <c r="A225" s="97"/>
      <c r="B225" s="97"/>
    </row>
    <row r="226" ht="15.75" customHeight="1">
      <c r="A226" s="97"/>
      <c r="B226" s="97"/>
    </row>
    <row r="227" ht="15.75" customHeight="1">
      <c r="A227" s="97"/>
      <c r="B227" s="97"/>
    </row>
    <row r="228" ht="15.75" customHeight="1">
      <c r="A228" s="97"/>
      <c r="B228" s="97"/>
    </row>
    <row r="229" ht="15.75" customHeight="1">
      <c r="A229" s="97"/>
      <c r="B229" s="97"/>
    </row>
    <row r="230" ht="15.75" customHeight="1">
      <c r="A230" s="97"/>
      <c r="B230" s="97"/>
    </row>
    <row r="231" ht="15.75" customHeight="1">
      <c r="A231" s="97"/>
      <c r="B231" s="97"/>
    </row>
    <row r="232" ht="15.75" customHeight="1">
      <c r="A232" s="97"/>
      <c r="B232" s="97"/>
    </row>
    <row r="233" ht="15.75" customHeight="1">
      <c r="A233" s="97"/>
      <c r="B233" s="97"/>
    </row>
    <row r="234" ht="15.75" customHeight="1">
      <c r="A234" s="97"/>
      <c r="B234" s="97"/>
    </row>
    <row r="235" ht="15.75" customHeight="1">
      <c r="A235" s="97"/>
      <c r="B235" s="97"/>
    </row>
    <row r="236" ht="15.75" customHeight="1">
      <c r="A236" s="97"/>
      <c r="B236" s="97"/>
    </row>
    <row r="237" ht="15.75" customHeight="1">
      <c r="A237" s="97"/>
      <c r="B237" s="97"/>
    </row>
    <row r="238" ht="15.75" customHeight="1">
      <c r="A238" s="97"/>
      <c r="B238" s="97"/>
    </row>
    <row r="239" ht="15.75" customHeight="1">
      <c r="A239" s="97"/>
      <c r="B239" s="97"/>
    </row>
    <row r="240" ht="15.75" customHeight="1">
      <c r="A240" s="97"/>
      <c r="B240" s="97"/>
    </row>
    <row r="241" ht="15.75" customHeight="1">
      <c r="A241" s="97"/>
      <c r="B241" s="97"/>
    </row>
    <row r="242" ht="15.75" customHeight="1">
      <c r="A242" s="97"/>
      <c r="B242" s="97"/>
    </row>
    <row r="243" ht="15.75" customHeight="1">
      <c r="A243" s="97"/>
      <c r="B243" s="97"/>
    </row>
    <row r="244" ht="15.75" customHeight="1">
      <c r="A244" s="97"/>
      <c r="B244" s="97"/>
    </row>
    <row r="245" ht="15.75" customHeight="1">
      <c r="A245" s="97"/>
      <c r="B245" s="97"/>
    </row>
    <row r="246" ht="15.75" customHeight="1">
      <c r="A246" s="97"/>
      <c r="B246" s="97"/>
    </row>
    <row r="247" ht="15.75" customHeight="1">
      <c r="A247" s="97"/>
      <c r="B247" s="97"/>
    </row>
    <row r="248" ht="15.75" customHeight="1">
      <c r="A248" s="97"/>
      <c r="B248" s="97"/>
    </row>
    <row r="249" ht="15.75" customHeight="1">
      <c r="A249" s="97"/>
      <c r="B249" s="97"/>
    </row>
    <row r="250" ht="15.75" customHeight="1">
      <c r="A250" s="97"/>
      <c r="B250" s="97"/>
    </row>
    <row r="251" ht="15.75" customHeight="1">
      <c r="A251" s="97"/>
      <c r="B251" s="97"/>
    </row>
    <row r="252" ht="15.75" customHeight="1">
      <c r="A252" s="97"/>
      <c r="B252" s="97"/>
    </row>
    <row r="253" ht="15.75" customHeight="1">
      <c r="A253" s="97"/>
      <c r="B253" s="97"/>
    </row>
    <row r="254" ht="15.75" customHeight="1">
      <c r="A254" s="97"/>
      <c r="B254" s="97"/>
    </row>
    <row r="255" ht="15.75" customHeight="1">
      <c r="A255" s="97"/>
      <c r="B255" s="97"/>
    </row>
    <row r="256" ht="15.75" customHeight="1">
      <c r="A256" s="97"/>
      <c r="B256" s="97"/>
    </row>
    <row r="257" ht="15.75" customHeight="1">
      <c r="A257" s="97"/>
      <c r="B257" s="97"/>
    </row>
    <row r="258" ht="15.75" customHeight="1">
      <c r="A258" s="97"/>
      <c r="B258" s="97"/>
    </row>
    <row r="259" ht="15.75" customHeight="1">
      <c r="A259" s="97"/>
      <c r="B259" s="97"/>
    </row>
    <row r="260" ht="15.75" customHeight="1">
      <c r="A260" s="97"/>
      <c r="B260" s="97"/>
    </row>
    <row r="261" ht="15.75" customHeight="1">
      <c r="A261" s="97"/>
      <c r="B261" s="97"/>
    </row>
    <row r="262" ht="15.75" customHeight="1">
      <c r="A262" s="97"/>
      <c r="B262" s="97"/>
    </row>
    <row r="263" ht="15.75" customHeight="1">
      <c r="A263" s="97"/>
      <c r="B263" s="97"/>
    </row>
    <row r="264" ht="15.75" customHeight="1">
      <c r="A264" s="97"/>
      <c r="B264" s="97"/>
    </row>
    <row r="265" ht="15.75" customHeight="1">
      <c r="A265" s="97"/>
      <c r="B265" s="97"/>
    </row>
    <row r="266" ht="15.75" customHeight="1">
      <c r="A266" s="97"/>
      <c r="B266" s="97"/>
    </row>
    <row r="267" ht="15.75" customHeight="1">
      <c r="A267" s="97"/>
      <c r="B267" s="97"/>
    </row>
    <row r="268" ht="15.75" customHeight="1">
      <c r="A268" s="97"/>
      <c r="B268" s="97"/>
    </row>
    <row r="269" ht="15.75" customHeight="1">
      <c r="A269" s="97"/>
      <c r="B269" s="97"/>
    </row>
    <row r="270" ht="15.75" customHeight="1">
      <c r="A270" s="97"/>
      <c r="B270" s="97"/>
    </row>
    <row r="271" ht="15.75" customHeight="1">
      <c r="A271" s="97"/>
      <c r="B271" s="97"/>
    </row>
    <row r="272" ht="15.75" customHeight="1">
      <c r="A272" s="97"/>
      <c r="B272" s="97"/>
    </row>
    <row r="273" ht="15.75" customHeight="1">
      <c r="A273" s="97"/>
      <c r="B273" s="97"/>
    </row>
    <row r="274" ht="15.75" customHeight="1">
      <c r="A274" s="97"/>
      <c r="B274" s="97"/>
    </row>
    <row r="275" ht="15.75" customHeight="1">
      <c r="A275" s="97"/>
      <c r="B275" s="97"/>
    </row>
    <row r="276" ht="15.75" customHeight="1">
      <c r="A276" s="97"/>
      <c r="B276" s="97"/>
    </row>
    <row r="277" ht="15.75" customHeight="1">
      <c r="A277" s="97"/>
      <c r="B277" s="97"/>
    </row>
    <row r="278" ht="15.75" customHeight="1">
      <c r="A278" s="97"/>
      <c r="B278" s="97"/>
    </row>
    <row r="279" ht="15.75" customHeight="1">
      <c r="A279" s="97"/>
      <c r="B279" s="97"/>
    </row>
    <row r="280" ht="15.75" customHeight="1">
      <c r="A280" s="97"/>
      <c r="B280" s="97"/>
    </row>
    <row r="281" ht="15.75" customHeight="1">
      <c r="A281" s="97"/>
      <c r="B281" s="97"/>
    </row>
    <row r="282" ht="15.75" customHeight="1">
      <c r="A282" s="97"/>
      <c r="B282" s="97"/>
    </row>
    <row r="283" ht="15.75" customHeight="1">
      <c r="A283" s="97"/>
      <c r="B283" s="97"/>
    </row>
    <row r="284" ht="15.75" customHeight="1">
      <c r="A284" s="97"/>
      <c r="B284" s="97"/>
    </row>
    <row r="285" ht="15.75" customHeight="1">
      <c r="A285" s="97"/>
      <c r="B285" s="97"/>
    </row>
    <row r="286" ht="15.75" customHeight="1">
      <c r="A286" s="97"/>
      <c r="B286" s="97"/>
    </row>
    <row r="287" ht="15.75" customHeight="1">
      <c r="A287" s="97"/>
      <c r="B287" s="97"/>
    </row>
    <row r="288" ht="15.75" customHeight="1">
      <c r="A288" s="97"/>
      <c r="B288" s="97"/>
    </row>
    <row r="289" ht="15.75" customHeight="1">
      <c r="A289" s="97"/>
      <c r="B289" s="97"/>
    </row>
    <row r="290" ht="15.75" customHeight="1">
      <c r="A290" s="97"/>
      <c r="B290" s="97"/>
    </row>
    <row r="291" ht="15.75" customHeight="1">
      <c r="A291" s="97"/>
      <c r="B291" s="97"/>
    </row>
    <row r="292" ht="15.75" customHeight="1">
      <c r="A292" s="97"/>
      <c r="B292" s="97"/>
    </row>
    <row r="293" ht="15.75" customHeight="1">
      <c r="A293" s="97"/>
      <c r="B293" s="97"/>
    </row>
    <row r="294" ht="15.75" customHeight="1">
      <c r="A294" s="97"/>
      <c r="B294" s="97"/>
    </row>
    <row r="295" ht="15.75" customHeight="1">
      <c r="A295" s="97"/>
      <c r="B295" s="97"/>
    </row>
    <row r="296" ht="15.75" customHeight="1">
      <c r="A296" s="97"/>
      <c r="B296" s="97"/>
    </row>
    <row r="297" ht="15.75" customHeight="1">
      <c r="A297" s="97"/>
      <c r="B297" s="97"/>
    </row>
    <row r="298" ht="15.75" customHeight="1">
      <c r="A298" s="97"/>
      <c r="B298" s="97"/>
    </row>
    <row r="299" ht="15.75" customHeight="1">
      <c r="A299" s="97"/>
      <c r="B299" s="97"/>
    </row>
    <row r="300" ht="15.75" customHeight="1">
      <c r="A300" s="97"/>
      <c r="B300" s="97"/>
    </row>
    <row r="301" ht="15.75" customHeight="1">
      <c r="A301" s="97"/>
      <c r="B301" s="97"/>
    </row>
    <row r="302" ht="15.75" customHeight="1">
      <c r="A302" s="97"/>
      <c r="B302" s="97"/>
    </row>
    <row r="303" ht="15.75" customHeight="1">
      <c r="A303" s="97"/>
      <c r="B303" s="97"/>
    </row>
    <row r="304" ht="15.75" customHeight="1">
      <c r="A304" s="97"/>
      <c r="B304" s="97"/>
    </row>
    <row r="305" ht="15.75" customHeight="1">
      <c r="A305" s="97"/>
      <c r="B305" s="97"/>
    </row>
    <row r="306" ht="15.75" customHeight="1">
      <c r="A306" s="97"/>
      <c r="B306" s="97"/>
    </row>
    <row r="307" ht="15.75" customHeight="1">
      <c r="A307" s="97"/>
      <c r="B307" s="97"/>
    </row>
    <row r="308" ht="15.75" customHeight="1">
      <c r="A308" s="97"/>
      <c r="B308" s="97"/>
    </row>
    <row r="309" ht="15.75" customHeight="1">
      <c r="A309" s="97"/>
      <c r="B309" s="97"/>
    </row>
    <row r="310" ht="15.75" customHeight="1">
      <c r="A310" s="97"/>
      <c r="B310" s="97"/>
    </row>
    <row r="311" ht="15.75" customHeight="1">
      <c r="A311" s="97"/>
      <c r="B311" s="97"/>
    </row>
    <row r="312" ht="15.75" customHeight="1">
      <c r="A312" s="97"/>
      <c r="B312" s="97"/>
    </row>
    <row r="313" ht="15.75" customHeight="1">
      <c r="A313" s="97"/>
      <c r="B313" s="97"/>
    </row>
    <row r="314" ht="15.75" customHeight="1">
      <c r="A314" s="97"/>
      <c r="B314" s="97"/>
    </row>
    <row r="315" ht="15.75" customHeight="1">
      <c r="A315" s="97"/>
      <c r="B315" s="97"/>
    </row>
    <row r="316" ht="15.75" customHeight="1">
      <c r="A316" s="97"/>
      <c r="B316" s="97"/>
    </row>
    <row r="317" ht="15.75" customHeight="1">
      <c r="A317" s="97"/>
      <c r="B317" s="97"/>
    </row>
    <row r="318" ht="15.75" customHeight="1">
      <c r="A318" s="97"/>
      <c r="B318" s="97"/>
    </row>
    <row r="319" ht="15.75" customHeight="1">
      <c r="A319" s="97"/>
      <c r="B319" s="97"/>
    </row>
    <row r="320" ht="15.75" customHeight="1">
      <c r="A320" s="97"/>
      <c r="B320" s="97"/>
    </row>
    <row r="321" ht="15.75" customHeight="1">
      <c r="A321" s="97"/>
      <c r="B321" s="97"/>
    </row>
    <row r="322" ht="15.75" customHeight="1">
      <c r="A322" s="97"/>
      <c r="B322" s="97"/>
    </row>
    <row r="323" ht="15.75" customHeight="1">
      <c r="A323" s="97"/>
      <c r="B323" s="97"/>
    </row>
    <row r="324" ht="15.75" customHeight="1">
      <c r="A324" s="97"/>
      <c r="B324" s="97"/>
    </row>
    <row r="325" ht="15.75" customHeight="1">
      <c r="A325" s="97"/>
      <c r="B325" s="97"/>
    </row>
    <row r="326" ht="15.75" customHeight="1">
      <c r="A326" s="97"/>
      <c r="B326" s="97"/>
    </row>
    <row r="327" ht="15.75" customHeight="1">
      <c r="A327" s="97"/>
      <c r="B327" s="97"/>
    </row>
    <row r="328" ht="15.75" customHeight="1">
      <c r="A328" s="97"/>
      <c r="B328" s="97"/>
    </row>
    <row r="329" ht="15.75" customHeight="1">
      <c r="A329" s="97"/>
      <c r="B329" s="97"/>
    </row>
    <row r="330" ht="15.75" customHeight="1">
      <c r="A330" s="97"/>
      <c r="B330" s="97"/>
    </row>
    <row r="331" ht="15.75" customHeight="1">
      <c r="A331" s="97"/>
      <c r="B331" s="97"/>
    </row>
    <row r="332" ht="15.75" customHeight="1">
      <c r="A332" s="97"/>
      <c r="B332" s="97"/>
    </row>
    <row r="333" ht="15.75" customHeight="1">
      <c r="A333" s="97"/>
      <c r="B333" s="97"/>
    </row>
    <row r="334" ht="15.75" customHeight="1">
      <c r="A334" s="97"/>
      <c r="B334" s="97"/>
    </row>
    <row r="335" ht="15.75" customHeight="1">
      <c r="A335" s="97"/>
      <c r="B335" s="97"/>
    </row>
    <row r="336" ht="15.75" customHeight="1">
      <c r="A336" s="97"/>
      <c r="B336" s="97"/>
    </row>
    <row r="337" ht="15.75" customHeight="1">
      <c r="A337" s="97"/>
      <c r="B337" s="97"/>
    </row>
    <row r="338" ht="15.75" customHeight="1">
      <c r="A338" s="97"/>
      <c r="B338" s="97"/>
    </row>
    <row r="339" ht="15.75" customHeight="1">
      <c r="A339" s="97"/>
      <c r="B339" s="97"/>
    </row>
    <row r="340" ht="15.75" customHeight="1">
      <c r="A340" s="97"/>
      <c r="B340" s="97"/>
    </row>
    <row r="341" ht="15.75" customHeight="1">
      <c r="A341" s="97"/>
      <c r="B341" s="97"/>
    </row>
    <row r="342" ht="15.75" customHeight="1">
      <c r="A342" s="97"/>
      <c r="B342" s="97"/>
    </row>
    <row r="343" ht="15.75" customHeight="1">
      <c r="A343" s="97"/>
      <c r="B343" s="97"/>
    </row>
    <row r="344" ht="15.75" customHeight="1">
      <c r="A344" s="97"/>
      <c r="B344" s="97"/>
    </row>
    <row r="345" ht="15.75" customHeight="1">
      <c r="A345" s="97"/>
      <c r="B345" s="97"/>
    </row>
    <row r="346" ht="15.75" customHeight="1">
      <c r="A346" s="97"/>
      <c r="B346" s="97"/>
    </row>
    <row r="347" ht="15.75" customHeight="1">
      <c r="A347" s="97"/>
      <c r="B347" s="97"/>
    </row>
    <row r="348" ht="15.75" customHeight="1">
      <c r="A348" s="97"/>
      <c r="B348" s="97"/>
    </row>
    <row r="349" ht="15.75" customHeight="1">
      <c r="A349" s="97"/>
      <c r="B349" s="97"/>
    </row>
    <row r="350" ht="15.75" customHeight="1">
      <c r="A350" s="97"/>
      <c r="B350" s="97"/>
    </row>
    <row r="351" ht="15.75" customHeight="1">
      <c r="A351" s="97"/>
      <c r="B351" s="97"/>
    </row>
    <row r="352" ht="15.75" customHeight="1">
      <c r="A352" s="97"/>
      <c r="B352" s="97"/>
    </row>
    <row r="353" ht="15.75" customHeight="1">
      <c r="A353" s="97"/>
      <c r="B353" s="97"/>
    </row>
    <row r="354" ht="15.75" customHeight="1">
      <c r="A354" s="97"/>
      <c r="B354" s="97"/>
    </row>
    <row r="355" ht="15.75" customHeight="1">
      <c r="A355" s="97"/>
      <c r="B355" s="97"/>
    </row>
    <row r="356" ht="15.75" customHeight="1">
      <c r="A356" s="97"/>
      <c r="B356" s="97"/>
    </row>
    <row r="357" ht="15.75" customHeight="1">
      <c r="A357" s="97"/>
      <c r="B357" s="97"/>
    </row>
    <row r="358" ht="15.75" customHeight="1">
      <c r="A358" s="97"/>
      <c r="B358" s="97"/>
    </row>
    <row r="359" ht="15.75" customHeight="1">
      <c r="A359" s="97"/>
      <c r="B359" s="97"/>
    </row>
    <row r="360" ht="15.75" customHeight="1">
      <c r="A360" s="97"/>
      <c r="B360" s="97"/>
    </row>
    <row r="361" ht="15.75" customHeight="1">
      <c r="A361" s="97"/>
      <c r="B361" s="97"/>
    </row>
    <row r="362" ht="15.75" customHeight="1">
      <c r="A362" s="97"/>
      <c r="B362" s="97"/>
    </row>
    <row r="363" ht="15.75" customHeight="1">
      <c r="A363" s="97"/>
      <c r="B363" s="97"/>
    </row>
    <row r="364" ht="15.75" customHeight="1">
      <c r="A364" s="97"/>
      <c r="B364" s="97"/>
    </row>
    <row r="365" ht="15.75" customHeight="1">
      <c r="A365" s="97"/>
      <c r="B365" s="97"/>
    </row>
    <row r="366" ht="15.75" customHeight="1">
      <c r="A366" s="97"/>
      <c r="B366" s="97"/>
    </row>
    <row r="367" ht="15.75" customHeight="1">
      <c r="A367" s="97"/>
      <c r="B367" s="97"/>
    </row>
    <row r="368" ht="15.75" customHeight="1">
      <c r="A368" s="97"/>
      <c r="B368" s="97"/>
    </row>
    <row r="369" ht="15.75" customHeight="1">
      <c r="A369" s="97"/>
      <c r="B369" s="97"/>
    </row>
    <row r="370" ht="15.75" customHeight="1">
      <c r="A370" s="97"/>
      <c r="B370" s="97"/>
    </row>
    <row r="371" ht="15.75" customHeight="1">
      <c r="A371" s="97"/>
      <c r="B371" s="97"/>
    </row>
    <row r="372" ht="15.75" customHeight="1">
      <c r="A372" s="97"/>
      <c r="B372" s="97"/>
    </row>
    <row r="373" ht="15.75" customHeight="1">
      <c r="A373" s="97"/>
      <c r="B373" s="97"/>
    </row>
    <row r="374" ht="15.75" customHeight="1">
      <c r="A374" s="97"/>
      <c r="B374" s="97"/>
    </row>
    <row r="375" ht="15.75" customHeight="1">
      <c r="A375" s="97"/>
      <c r="B375" s="97"/>
    </row>
    <row r="376" ht="15.75" customHeight="1">
      <c r="A376" s="97"/>
      <c r="B376" s="97"/>
    </row>
    <row r="377" ht="15.75" customHeight="1">
      <c r="A377" s="97"/>
      <c r="B377" s="97"/>
    </row>
    <row r="378" ht="15.75" customHeight="1">
      <c r="A378" s="97"/>
      <c r="B378" s="97"/>
    </row>
    <row r="379" ht="15.75" customHeight="1">
      <c r="A379" s="97"/>
      <c r="B379" s="97"/>
    </row>
    <row r="380" ht="15.75" customHeight="1">
      <c r="A380" s="97"/>
      <c r="B380" s="97"/>
    </row>
    <row r="381" ht="15.75" customHeight="1">
      <c r="A381" s="97"/>
      <c r="B381" s="97"/>
    </row>
    <row r="382" ht="15.75" customHeight="1">
      <c r="A382" s="97"/>
      <c r="B382" s="97"/>
    </row>
    <row r="383" ht="15.75" customHeight="1">
      <c r="A383" s="97"/>
      <c r="B383" s="97"/>
    </row>
    <row r="384" ht="15.75" customHeight="1">
      <c r="A384" s="97"/>
      <c r="B384" s="97"/>
    </row>
    <row r="385" ht="15.75" customHeight="1">
      <c r="A385" s="97"/>
      <c r="B385" s="97"/>
    </row>
    <row r="386" ht="15.75" customHeight="1">
      <c r="A386" s="97"/>
      <c r="B386" s="97"/>
    </row>
    <row r="387" ht="15.75" customHeight="1">
      <c r="A387" s="97"/>
      <c r="B387" s="97"/>
    </row>
    <row r="388" ht="15.75" customHeight="1">
      <c r="A388" s="97"/>
      <c r="B388" s="97"/>
    </row>
    <row r="389" ht="15.75" customHeight="1">
      <c r="A389" s="97"/>
      <c r="B389" s="97"/>
    </row>
    <row r="390" ht="15.75" customHeight="1">
      <c r="A390" s="97"/>
      <c r="B390" s="97"/>
    </row>
    <row r="391" ht="15.75" customHeight="1">
      <c r="A391" s="97"/>
      <c r="B391" s="97"/>
    </row>
    <row r="392" ht="15.75" customHeight="1">
      <c r="A392" s="97"/>
      <c r="B392" s="97"/>
    </row>
    <row r="393" ht="15.75" customHeight="1">
      <c r="A393" s="97"/>
      <c r="B393" s="97"/>
    </row>
    <row r="394" ht="15.75" customHeight="1">
      <c r="A394" s="97"/>
      <c r="B394" s="97"/>
    </row>
    <row r="395" ht="15.75" customHeight="1">
      <c r="A395" s="97"/>
      <c r="B395" s="97"/>
    </row>
    <row r="396" ht="15.75" customHeight="1">
      <c r="A396" s="97"/>
      <c r="B396" s="97"/>
    </row>
    <row r="397" ht="15.75" customHeight="1">
      <c r="A397" s="97"/>
      <c r="B397" s="97"/>
    </row>
    <row r="398" ht="15.75" customHeight="1">
      <c r="A398" s="97"/>
      <c r="B398" s="97"/>
    </row>
    <row r="399" ht="15.75" customHeight="1">
      <c r="A399" s="97"/>
      <c r="B399" s="97"/>
    </row>
    <row r="400" ht="15.75" customHeight="1">
      <c r="A400" s="97"/>
      <c r="B400" s="97"/>
    </row>
    <row r="401" ht="15.75" customHeight="1">
      <c r="A401" s="97"/>
      <c r="B401" s="97"/>
    </row>
    <row r="402" ht="15.75" customHeight="1">
      <c r="A402" s="97"/>
      <c r="B402" s="97"/>
    </row>
    <row r="403" ht="15.75" customHeight="1">
      <c r="A403" s="97"/>
      <c r="B403" s="97"/>
    </row>
    <row r="404" ht="15.75" customHeight="1">
      <c r="A404" s="97"/>
      <c r="B404" s="97"/>
    </row>
    <row r="405" ht="15.75" customHeight="1">
      <c r="A405" s="97"/>
      <c r="B405" s="97"/>
    </row>
    <row r="406" ht="15.75" customHeight="1">
      <c r="A406" s="97"/>
      <c r="B406" s="97"/>
    </row>
    <row r="407" ht="15.75" customHeight="1">
      <c r="A407" s="97"/>
      <c r="B407" s="97"/>
    </row>
    <row r="408" ht="15.75" customHeight="1">
      <c r="A408" s="97"/>
      <c r="B408" s="97"/>
    </row>
    <row r="409" ht="15.75" customHeight="1">
      <c r="A409" s="97"/>
      <c r="B409" s="97"/>
    </row>
    <row r="410" ht="15.75" customHeight="1">
      <c r="A410" s="97"/>
      <c r="B410" s="97"/>
    </row>
    <row r="411" ht="15.75" customHeight="1">
      <c r="A411" s="97"/>
      <c r="B411" s="97"/>
    </row>
    <row r="412" ht="15.75" customHeight="1">
      <c r="A412" s="97"/>
      <c r="B412" s="97"/>
    </row>
    <row r="413" ht="15.75" customHeight="1">
      <c r="A413" s="97"/>
      <c r="B413" s="97"/>
    </row>
    <row r="414" ht="15.75" customHeight="1">
      <c r="A414" s="97"/>
      <c r="B414" s="97"/>
    </row>
    <row r="415" ht="15.75" customHeight="1">
      <c r="A415" s="97"/>
      <c r="B415" s="97"/>
    </row>
    <row r="416" ht="15.75" customHeight="1">
      <c r="A416" s="97"/>
      <c r="B416" s="97"/>
    </row>
    <row r="417" ht="15.75" customHeight="1">
      <c r="A417" s="97"/>
      <c r="B417" s="97"/>
    </row>
    <row r="418" ht="15.75" customHeight="1">
      <c r="A418" s="97"/>
      <c r="B418" s="97"/>
    </row>
    <row r="419" ht="15.75" customHeight="1">
      <c r="A419" s="97"/>
      <c r="B419" s="97"/>
    </row>
    <row r="420" ht="15.75" customHeight="1">
      <c r="A420" s="97"/>
      <c r="B420" s="97"/>
    </row>
    <row r="421" ht="15.75" customHeight="1">
      <c r="A421" s="97"/>
      <c r="B421" s="97"/>
    </row>
    <row r="422" ht="15.75" customHeight="1">
      <c r="A422" s="97"/>
      <c r="B422" s="97"/>
    </row>
    <row r="423" ht="15.75" customHeight="1">
      <c r="A423" s="97"/>
      <c r="B423" s="97"/>
    </row>
    <row r="424" ht="15.75" customHeight="1">
      <c r="A424" s="97"/>
      <c r="B424" s="97"/>
    </row>
    <row r="425" ht="15.75" customHeight="1">
      <c r="A425" s="97"/>
      <c r="B425" s="97"/>
    </row>
    <row r="426" ht="15.75" customHeight="1">
      <c r="A426" s="97"/>
      <c r="B426" s="97"/>
    </row>
    <row r="427" ht="15.75" customHeight="1">
      <c r="A427" s="97"/>
      <c r="B427" s="97"/>
    </row>
    <row r="428" ht="15.75" customHeight="1">
      <c r="A428" s="97"/>
      <c r="B428" s="97"/>
    </row>
    <row r="429" ht="15.75" customHeight="1">
      <c r="A429" s="97"/>
      <c r="B429" s="97"/>
    </row>
    <row r="430" ht="15.75" customHeight="1">
      <c r="A430" s="97"/>
      <c r="B430" s="97"/>
    </row>
    <row r="431" ht="15.75" customHeight="1">
      <c r="A431" s="97"/>
      <c r="B431" s="97"/>
    </row>
    <row r="432" ht="15.75" customHeight="1">
      <c r="A432" s="97"/>
      <c r="B432" s="97"/>
    </row>
    <row r="433" ht="15.75" customHeight="1">
      <c r="A433" s="97"/>
      <c r="B433" s="97"/>
    </row>
    <row r="434" ht="15.75" customHeight="1">
      <c r="A434" s="97"/>
      <c r="B434" s="97"/>
    </row>
    <row r="435" ht="15.75" customHeight="1">
      <c r="A435" s="97"/>
      <c r="B435" s="97"/>
    </row>
    <row r="436" ht="15.75" customHeight="1">
      <c r="A436" s="97"/>
      <c r="B436" s="97"/>
    </row>
    <row r="437" ht="15.75" customHeight="1">
      <c r="A437" s="97"/>
      <c r="B437" s="97"/>
    </row>
    <row r="438" ht="15.75" customHeight="1">
      <c r="A438" s="97"/>
      <c r="B438" s="97"/>
    </row>
    <row r="439" ht="15.75" customHeight="1">
      <c r="A439" s="97"/>
      <c r="B439" s="97"/>
    </row>
    <row r="440" ht="15.75" customHeight="1">
      <c r="A440" s="97"/>
      <c r="B440" s="97"/>
    </row>
    <row r="441" ht="15.75" customHeight="1">
      <c r="A441" s="97"/>
      <c r="B441" s="97"/>
    </row>
    <row r="442" ht="15.75" customHeight="1">
      <c r="A442" s="97"/>
      <c r="B442" s="97"/>
    </row>
    <row r="443" ht="15.75" customHeight="1">
      <c r="A443" s="97"/>
      <c r="B443" s="97"/>
    </row>
    <row r="444" ht="15.75" customHeight="1">
      <c r="A444" s="97"/>
      <c r="B444" s="97"/>
    </row>
    <row r="445" ht="15.75" customHeight="1">
      <c r="A445" s="97"/>
      <c r="B445" s="97"/>
    </row>
    <row r="446" ht="15.75" customHeight="1">
      <c r="A446" s="97"/>
      <c r="B446" s="97"/>
    </row>
    <row r="447" ht="15.75" customHeight="1">
      <c r="A447" s="97"/>
      <c r="B447" s="97"/>
    </row>
    <row r="448" ht="15.75" customHeight="1">
      <c r="A448" s="97"/>
      <c r="B448" s="97"/>
    </row>
    <row r="449" ht="15.75" customHeight="1">
      <c r="A449" s="97"/>
      <c r="B449" s="97"/>
    </row>
    <row r="450" ht="15.75" customHeight="1">
      <c r="A450" s="97"/>
      <c r="B450" s="97"/>
    </row>
    <row r="451" ht="15.75" customHeight="1">
      <c r="A451" s="97"/>
      <c r="B451" s="97"/>
    </row>
    <row r="452" ht="15.75" customHeight="1">
      <c r="A452" s="97"/>
      <c r="B452" s="97"/>
    </row>
    <row r="453" ht="15.75" customHeight="1">
      <c r="A453" s="97"/>
      <c r="B453" s="97"/>
    </row>
    <row r="454" ht="15.75" customHeight="1">
      <c r="A454" s="97"/>
      <c r="B454" s="97"/>
    </row>
    <row r="455" ht="15.75" customHeight="1">
      <c r="A455" s="97"/>
      <c r="B455" s="97"/>
    </row>
    <row r="456" ht="15.75" customHeight="1">
      <c r="A456" s="97"/>
      <c r="B456" s="97"/>
    </row>
    <row r="457" ht="15.75" customHeight="1">
      <c r="A457" s="97"/>
      <c r="B457" s="97"/>
    </row>
    <row r="458" ht="15.75" customHeight="1">
      <c r="A458" s="97"/>
      <c r="B458" s="97"/>
    </row>
    <row r="459" ht="15.75" customHeight="1">
      <c r="A459" s="97"/>
      <c r="B459" s="97"/>
    </row>
    <row r="460" ht="15.75" customHeight="1">
      <c r="A460" s="97"/>
      <c r="B460" s="97"/>
    </row>
    <row r="461" ht="15.75" customHeight="1">
      <c r="A461" s="97"/>
      <c r="B461" s="97"/>
    </row>
    <row r="462" ht="15.75" customHeight="1">
      <c r="A462" s="97"/>
      <c r="B462" s="97"/>
    </row>
    <row r="463" ht="15.75" customHeight="1">
      <c r="A463" s="97"/>
      <c r="B463" s="97"/>
    </row>
    <row r="464" ht="15.75" customHeight="1">
      <c r="A464" s="97"/>
      <c r="B464" s="97"/>
    </row>
    <row r="465" ht="15.75" customHeight="1">
      <c r="A465" s="97"/>
      <c r="B465" s="97"/>
    </row>
    <row r="466" ht="15.75" customHeight="1">
      <c r="A466" s="97"/>
      <c r="B466" s="97"/>
    </row>
    <row r="467" ht="15.75" customHeight="1">
      <c r="A467" s="97"/>
      <c r="B467" s="97"/>
    </row>
    <row r="468" ht="15.75" customHeight="1">
      <c r="A468" s="97"/>
      <c r="B468" s="97"/>
    </row>
    <row r="469" ht="15.75" customHeight="1">
      <c r="A469" s="97"/>
      <c r="B469" s="97"/>
    </row>
    <row r="470" ht="15.75" customHeight="1">
      <c r="A470" s="97"/>
      <c r="B470" s="97"/>
    </row>
    <row r="471" ht="15.75" customHeight="1">
      <c r="A471" s="97"/>
      <c r="B471" s="97"/>
    </row>
    <row r="472" ht="15.75" customHeight="1">
      <c r="A472" s="97"/>
      <c r="B472" s="97"/>
    </row>
    <row r="473" ht="15.75" customHeight="1">
      <c r="A473" s="97"/>
      <c r="B473" s="97"/>
    </row>
    <row r="474" ht="15.75" customHeight="1">
      <c r="A474" s="97"/>
      <c r="B474" s="97"/>
    </row>
    <row r="475" ht="15.75" customHeight="1">
      <c r="A475" s="97"/>
      <c r="B475" s="97"/>
    </row>
    <row r="476" ht="15.75" customHeight="1">
      <c r="A476" s="97"/>
      <c r="B476" s="97"/>
    </row>
    <row r="477" ht="15.75" customHeight="1">
      <c r="A477" s="97"/>
      <c r="B477" s="97"/>
    </row>
    <row r="478" ht="15.75" customHeight="1">
      <c r="A478" s="97"/>
      <c r="B478" s="97"/>
    </row>
    <row r="479" ht="15.75" customHeight="1">
      <c r="A479" s="97"/>
      <c r="B479" s="97"/>
    </row>
    <row r="480" ht="15.75" customHeight="1">
      <c r="A480" s="97"/>
      <c r="B480" s="97"/>
    </row>
    <row r="481" ht="15.75" customHeight="1">
      <c r="A481" s="97"/>
      <c r="B481" s="97"/>
    </row>
    <row r="482" ht="15.75" customHeight="1">
      <c r="A482" s="97"/>
      <c r="B482" s="97"/>
    </row>
    <row r="483" ht="15.75" customHeight="1">
      <c r="A483" s="97"/>
      <c r="B483" s="97"/>
    </row>
    <row r="484" ht="15.75" customHeight="1">
      <c r="A484" s="97"/>
      <c r="B484" s="97"/>
    </row>
    <row r="485" ht="15.75" customHeight="1">
      <c r="A485" s="97"/>
      <c r="B485" s="97"/>
    </row>
    <row r="486" ht="15.75" customHeight="1">
      <c r="A486" s="97"/>
      <c r="B486" s="97"/>
    </row>
    <row r="487" ht="15.75" customHeight="1">
      <c r="A487" s="97"/>
      <c r="B487" s="97"/>
    </row>
    <row r="488" ht="15.75" customHeight="1">
      <c r="A488" s="97"/>
      <c r="B488" s="97"/>
    </row>
    <row r="489" ht="15.75" customHeight="1">
      <c r="A489" s="97"/>
      <c r="B489" s="97"/>
    </row>
    <row r="490" ht="15.75" customHeight="1">
      <c r="A490" s="97"/>
      <c r="B490" s="97"/>
    </row>
    <row r="491" ht="15.75" customHeight="1">
      <c r="A491" s="97"/>
      <c r="B491" s="97"/>
    </row>
    <row r="492" ht="15.75" customHeight="1">
      <c r="A492" s="97"/>
      <c r="B492" s="97"/>
    </row>
    <row r="493" ht="15.75" customHeight="1">
      <c r="A493" s="97"/>
      <c r="B493" s="97"/>
    </row>
    <row r="494" ht="15.75" customHeight="1">
      <c r="A494" s="97"/>
      <c r="B494" s="97"/>
    </row>
    <row r="495" ht="15.75" customHeight="1">
      <c r="A495" s="97"/>
      <c r="B495" s="97"/>
    </row>
    <row r="496" ht="15.75" customHeight="1">
      <c r="A496" s="97"/>
      <c r="B496" s="97"/>
    </row>
    <row r="497" ht="15.75" customHeight="1">
      <c r="A497" s="97"/>
      <c r="B497" s="97"/>
    </row>
    <row r="498" ht="15.75" customHeight="1">
      <c r="A498" s="97"/>
      <c r="B498" s="97"/>
    </row>
    <row r="499" ht="15.75" customHeight="1">
      <c r="A499" s="97"/>
      <c r="B499" s="97"/>
    </row>
    <row r="500" ht="15.75" customHeight="1">
      <c r="A500" s="97"/>
      <c r="B500" s="97"/>
    </row>
    <row r="501" ht="15.75" customHeight="1">
      <c r="A501" s="97"/>
      <c r="B501" s="97"/>
    </row>
    <row r="502" ht="15.75" customHeight="1">
      <c r="A502" s="97"/>
      <c r="B502" s="97"/>
    </row>
    <row r="503" ht="15.75" customHeight="1">
      <c r="A503" s="97"/>
      <c r="B503" s="97"/>
    </row>
    <row r="504" ht="15.75" customHeight="1">
      <c r="A504" s="97"/>
      <c r="B504" s="97"/>
    </row>
    <row r="505" ht="15.75" customHeight="1">
      <c r="A505" s="97"/>
      <c r="B505" s="97"/>
    </row>
    <row r="506" ht="15.75" customHeight="1">
      <c r="A506" s="97"/>
      <c r="B506" s="97"/>
    </row>
    <row r="507" ht="15.75" customHeight="1">
      <c r="A507" s="97"/>
      <c r="B507" s="97"/>
    </row>
    <row r="508" ht="15.75" customHeight="1">
      <c r="A508" s="97"/>
      <c r="B508" s="97"/>
    </row>
    <row r="509" ht="15.75" customHeight="1">
      <c r="A509" s="97"/>
      <c r="B509" s="97"/>
    </row>
    <row r="510" ht="15.75" customHeight="1">
      <c r="A510" s="97"/>
      <c r="B510" s="97"/>
    </row>
    <row r="511" ht="15.75" customHeight="1">
      <c r="A511" s="97"/>
      <c r="B511" s="97"/>
    </row>
    <row r="512" ht="15.75" customHeight="1">
      <c r="A512" s="97"/>
      <c r="B512" s="97"/>
    </row>
    <row r="513" ht="15.75" customHeight="1">
      <c r="A513" s="97"/>
      <c r="B513" s="97"/>
    </row>
    <row r="514" ht="15.75" customHeight="1">
      <c r="A514" s="97"/>
      <c r="B514" s="97"/>
    </row>
    <row r="515" ht="15.75" customHeight="1">
      <c r="A515" s="97"/>
      <c r="B515" s="97"/>
    </row>
    <row r="516" ht="15.75" customHeight="1">
      <c r="A516" s="97"/>
      <c r="B516" s="97"/>
    </row>
    <row r="517" ht="15.75" customHeight="1">
      <c r="A517" s="97"/>
      <c r="B517" s="97"/>
    </row>
    <row r="518" ht="15.75" customHeight="1">
      <c r="A518" s="97"/>
      <c r="B518" s="97"/>
    </row>
    <row r="519" ht="15.75" customHeight="1">
      <c r="A519" s="97"/>
      <c r="B519" s="97"/>
    </row>
    <row r="520" ht="15.75" customHeight="1">
      <c r="A520" s="97"/>
      <c r="B520" s="97"/>
    </row>
    <row r="521" ht="15.75" customHeight="1">
      <c r="A521" s="97"/>
      <c r="B521" s="97"/>
    </row>
    <row r="522" ht="15.75" customHeight="1">
      <c r="A522" s="97"/>
      <c r="B522" s="97"/>
    </row>
    <row r="523" ht="15.75" customHeight="1">
      <c r="A523" s="97"/>
      <c r="B523" s="97"/>
    </row>
    <row r="524" ht="15.75" customHeight="1">
      <c r="A524" s="97"/>
      <c r="B524" s="97"/>
    </row>
    <row r="525" ht="15.75" customHeight="1">
      <c r="A525" s="97"/>
      <c r="B525" s="97"/>
    </row>
    <row r="526" ht="15.75" customHeight="1">
      <c r="A526" s="97"/>
      <c r="B526" s="97"/>
    </row>
    <row r="527" ht="15.75" customHeight="1">
      <c r="A527" s="97"/>
      <c r="B527" s="97"/>
    </row>
    <row r="528" ht="15.75" customHeight="1">
      <c r="A528" s="97"/>
      <c r="B528" s="97"/>
    </row>
    <row r="529" ht="15.75" customHeight="1">
      <c r="A529" s="97"/>
      <c r="B529" s="97"/>
    </row>
    <row r="530" ht="15.75" customHeight="1">
      <c r="A530" s="97"/>
      <c r="B530" s="97"/>
    </row>
    <row r="531" ht="15.75" customHeight="1">
      <c r="A531" s="97"/>
      <c r="B531" s="97"/>
    </row>
    <row r="532" ht="15.75" customHeight="1">
      <c r="A532" s="97"/>
      <c r="B532" s="97"/>
    </row>
    <row r="533" ht="15.75" customHeight="1">
      <c r="A533" s="97"/>
      <c r="B533" s="97"/>
    </row>
    <row r="534" ht="15.75" customHeight="1">
      <c r="A534" s="97"/>
      <c r="B534" s="97"/>
    </row>
    <row r="535" ht="15.75" customHeight="1">
      <c r="A535" s="97"/>
      <c r="B535" s="97"/>
    </row>
    <row r="536" ht="15.75" customHeight="1">
      <c r="A536" s="97"/>
      <c r="B536" s="97"/>
    </row>
    <row r="537" ht="15.75" customHeight="1">
      <c r="A537" s="97"/>
      <c r="B537" s="97"/>
    </row>
    <row r="538" ht="15.75" customHeight="1">
      <c r="A538" s="97"/>
      <c r="B538" s="97"/>
    </row>
    <row r="539" ht="15.75" customHeight="1">
      <c r="A539" s="97"/>
      <c r="B539" s="97"/>
    </row>
    <row r="540" ht="15.75" customHeight="1">
      <c r="A540" s="97"/>
      <c r="B540" s="97"/>
    </row>
    <row r="541" ht="15.75" customHeight="1">
      <c r="A541" s="97"/>
      <c r="B541" s="97"/>
    </row>
    <row r="542" ht="15.75" customHeight="1">
      <c r="A542" s="97"/>
      <c r="B542" s="97"/>
    </row>
    <row r="543" ht="15.75" customHeight="1">
      <c r="A543" s="97"/>
      <c r="B543" s="97"/>
    </row>
    <row r="544" ht="15.75" customHeight="1">
      <c r="A544" s="97"/>
      <c r="B544" s="97"/>
    </row>
    <row r="545" ht="15.75" customHeight="1">
      <c r="A545" s="97"/>
      <c r="B545" s="97"/>
    </row>
    <row r="546" ht="15.75" customHeight="1">
      <c r="A546" s="97"/>
      <c r="B546" s="97"/>
    </row>
    <row r="547" ht="15.75" customHeight="1">
      <c r="A547" s="97"/>
      <c r="B547" s="97"/>
    </row>
    <row r="548" ht="15.75" customHeight="1">
      <c r="A548" s="97"/>
      <c r="B548" s="97"/>
    </row>
    <row r="549" ht="15.75" customHeight="1">
      <c r="A549" s="97"/>
      <c r="B549" s="97"/>
    </row>
    <row r="550" ht="15.75" customHeight="1">
      <c r="A550" s="97"/>
      <c r="B550" s="97"/>
    </row>
    <row r="551" ht="15.75" customHeight="1">
      <c r="A551" s="97"/>
      <c r="B551" s="97"/>
    </row>
    <row r="552" ht="15.75" customHeight="1">
      <c r="A552" s="97"/>
      <c r="B552" s="97"/>
    </row>
    <row r="553" ht="15.75" customHeight="1">
      <c r="A553" s="97"/>
      <c r="B553" s="97"/>
    </row>
    <row r="554" ht="15.75" customHeight="1">
      <c r="A554" s="97"/>
      <c r="B554" s="97"/>
    </row>
    <row r="555" ht="15.75" customHeight="1">
      <c r="A555" s="97"/>
      <c r="B555" s="97"/>
    </row>
    <row r="556" ht="15.75" customHeight="1">
      <c r="A556" s="97"/>
      <c r="B556" s="97"/>
    </row>
    <row r="557" ht="15.75" customHeight="1">
      <c r="A557" s="97"/>
      <c r="B557" s="97"/>
    </row>
    <row r="558" ht="15.75" customHeight="1">
      <c r="A558" s="97"/>
      <c r="B558" s="97"/>
    </row>
    <row r="559" ht="15.75" customHeight="1">
      <c r="A559" s="97"/>
      <c r="B559" s="97"/>
    </row>
    <row r="560" ht="15.75" customHeight="1">
      <c r="A560" s="97"/>
      <c r="B560" s="97"/>
    </row>
    <row r="561" ht="15.75" customHeight="1">
      <c r="A561" s="97"/>
      <c r="B561" s="97"/>
    </row>
    <row r="562" ht="15.75" customHeight="1">
      <c r="A562" s="97"/>
      <c r="B562" s="97"/>
    </row>
    <row r="563" ht="15.75" customHeight="1">
      <c r="A563" s="97"/>
      <c r="B563" s="97"/>
    </row>
    <row r="564" ht="15.75" customHeight="1">
      <c r="A564" s="97"/>
      <c r="B564" s="97"/>
    </row>
    <row r="565" ht="15.75" customHeight="1">
      <c r="A565" s="97"/>
      <c r="B565" s="97"/>
    </row>
    <row r="566" ht="15.75" customHeight="1">
      <c r="A566" s="97"/>
      <c r="B566" s="97"/>
    </row>
    <row r="567" ht="15.75" customHeight="1">
      <c r="A567" s="97"/>
      <c r="B567" s="97"/>
    </row>
    <row r="568" ht="15.75" customHeight="1">
      <c r="A568" s="97"/>
      <c r="B568" s="97"/>
    </row>
    <row r="569" ht="15.75" customHeight="1">
      <c r="A569" s="97"/>
      <c r="B569" s="97"/>
    </row>
    <row r="570" ht="15.75" customHeight="1">
      <c r="A570" s="97"/>
      <c r="B570" s="97"/>
    </row>
    <row r="571" ht="15.75" customHeight="1">
      <c r="A571" s="97"/>
      <c r="B571" s="97"/>
    </row>
    <row r="572" ht="15.75" customHeight="1">
      <c r="A572" s="97"/>
      <c r="B572" s="97"/>
    </row>
    <row r="573" ht="15.75" customHeight="1">
      <c r="A573" s="97"/>
      <c r="B573" s="97"/>
    </row>
    <row r="574" ht="15.75" customHeight="1">
      <c r="A574" s="97"/>
      <c r="B574" s="97"/>
    </row>
    <row r="575" ht="15.75" customHeight="1">
      <c r="A575" s="97"/>
      <c r="B575" s="97"/>
    </row>
    <row r="576" ht="15.75" customHeight="1">
      <c r="A576" s="97"/>
      <c r="B576" s="97"/>
    </row>
    <row r="577" ht="15.75" customHeight="1">
      <c r="A577" s="97"/>
      <c r="B577" s="97"/>
    </row>
    <row r="578" ht="15.75" customHeight="1">
      <c r="A578" s="97"/>
      <c r="B578" s="97"/>
    </row>
    <row r="579" ht="15.75" customHeight="1">
      <c r="A579" s="97"/>
      <c r="B579" s="97"/>
    </row>
    <row r="580" ht="15.75" customHeight="1">
      <c r="A580" s="97"/>
      <c r="B580" s="97"/>
    </row>
    <row r="581" ht="15.75" customHeight="1">
      <c r="A581" s="97"/>
      <c r="B581" s="97"/>
    </row>
    <row r="582" ht="15.75" customHeight="1">
      <c r="A582" s="97"/>
      <c r="B582" s="97"/>
    </row>
    <row r="583" ht="15.75" customHeight="1">
      <c r="A583" s="97"/>
      <c r="B583" s="97"/>
    </row>
    <row r="584" ht="15.75" customHeight="1">
      <c r="A584" s="97"/>
      <c r="B584" s="97"/>
    </row>
    <row r="585" ht="15.75" customHeight="1">
      <c r="A585" s="97"/>
      <c r="B585" s="97"/>
    </row>
    <row r="586" ht="15.75" customHeight="1">
      <c r="A586" s="97"/>
      <c r="B586" s="97"/>
    </row>
    <row r="587" ht="15.75" customHeight="1">
      <c r="A587" s="97"/>
      <c r="B587" s="97"/>
    </row>
    <row r="588" ht="15.75" customHeight="1">
      <c r="A588" s="97"/>
      <c r="B588" s="97"/>
    </row>
    <row r="589" ht="15.75" customHeight="1">
      <c r="A589" s="97"/>
      <c r="B589" s="97"/>
    </row>
    <row r="590" ht="15.75" customHeight="1">
      <c r="A590" s="97"/>
      <c r="B590" s="97"/>
    </row>
    <row r="591" ht="15.75" customHeight="1">
      <c r="A591" s="97"/>
      <c r="B591" s="97"/>
    </row>
    <row r="592" ht="15.75" customHeight="1">
      <c r="A592" s="97"/>
      <c r="B592" s="97"/>
    </row>
    <row r="593" ht="15.75" customHeight="1">
      <c r="A593" s="97"/>
      <c r="B593" s="97"/>
    </row>
    <row r="594" ht="15.75" customHeight="1">
      <c r="A594" s="97"/>
      <c r="B594" s="97"/>
    </row>
    <row r="595" ht="15.75" customHeight="1">
      <c r="A595" s="97"/>
      <c r="B595" s="97"/>
    </row>
    <row r="596" ht="15.75" customHeight="1">
      <c r="A596" s="97"/>
      <c r="B596" s="97"/>
    </row>
    <row r="597" ht="15.75" customHeight="1">
      <c r="A597" s="97"/>
      <c r="B597" s="97"/>
    </row>
    <row r="598" ht="15.75" customHeight="1">
      <c r="A598" s="97"/>
      <c r="B598" s="97"/>
    </row>
    <row r="599" ht="15.75" customHeight="1">
      <c r="A599" s="97"/>
      <c r="B599" s="97"/>
    </row>
    <row r="600" ht="15.75" customHeight="1">
      <c r="A600" s="97"/>
      <c r="B600" s="97"/>
    </row>
    <row r="601" ht="15.75" customHeight="1">
      <c r="A601" s="97"/>
      <c r="B601" s="97"/>
    </row>
    <row r="602" ht="15.75" customHeight="1">
      <c r="A602" s="97"/>
      <c r="B602" s="97"/>
    </row>
    <row r="603" ht="15.75" customHeight="1">
      <c r="A603" s="97"/>
      <c r="B603" s="97"/>
    </row>
    <row r="604" ht="15.75" customHeight="1">
      <c r="A604" s="97"/>
      <c r="B604" s="97"/>
    </row>
    <row r="605" ht="15.75" customHeight="1">
      <c r="A605" s="97"/>
      <c r="B605" s="97"/>
    </row>
    <row r="606" ht="15.75" customHeight="1">
      <c r="A606" s="97"/>
      <c r="B606" s="97"/>
    </row>
    <row r="607" ht="15.75" customHeight="1">
      <c r="A607" s="97"/>
      <c r="B607" s="97"/>
    </row>
    <row r="608" ht="15.75" customHeight="1">
      <c r="A608" s="97"/>
      <c r="B608" s="97"/>
    </row>
    <row r="609" ht="15.75" customHeight="1">
      <c r="A609" s="97"/>
      <c r="B609" s="97"/>
    </row>
    <row r="610" ht="15.75" customHeight="1">
      <c r="A610" s="97"/>
      <c r="B610" s="97"/>
    </row>
    <row r="611" ht="15.75" customHeight="1">
      <c r="A611" s="97"/>
      <c r="B611" s="97"/>
    </row>
    <row r="612" ht="15.75" customHeight="1">
      <c r="A612" s="97"/>
      <c r="B612" s="97"/>
    </row>
    <row r="613" ht="15.75" customHeight="1">
      <c r="A613" s="97"/>
      <c r="B613" s="97"/>
    </row>
    <row r="614" ht="15.75" customHeight="1">
      <c r="A614" s="97"/>
      <c r="B614" s="97"/>
    </row>
    <row r="615" ht="15.75" customHeight="1">
      <c r="A615" s="97"/>
      <c r="B615" s="97"/>
    </row>
    <row r="616" ht="15.75" customHeight="1">
      <c r="A616" s="97"/>
      <c r="B616" s="97"/>
    </row>
    <row r="617" ht="15.75" customHeight="1">
      <c r="A617" s="97"/>
      <c r="B617" s="97"/>
    </row>
    <row r="618" ht="15.75" customHeight="1">
      <c r="A618" s="97"/>
      <c r="B618" s="97"/>
    </row>
    <row r="619" ht="15.75" customHeight="1">
      <c r="A619" s="97"/>
      <c r="B619" s="97"/>
    </row>
    <row r="620" ht="15.75" customHeight="1">
      <c r="A620" s="97"/>
      <c r="B620" s="97"/>
    </row>
    <row r="621" ht="15.75" customHeight="1">
      <c r="A621" s="97"/>
      <c r="B621" s="97"/>
    </row>
    <row r="622" ht="15.75" customHeight="1">
      <c r="A622" s="97"/>
      <c r="B622" s="97"/>
    </row>
    <row r="623" ht="15.75" customHeight="1">
      <c r="A623" s="97"/>
      <c r="B623" s="97"/>
    </row>
    <row r="624" ht="15.75" customHeight="1">
      <c r="A624" s="97"/>
      <c r="B624" s="97"/>
    </row>
    <row r="625" ht="15.75" customHeight="1">
      <c r="A625" s="97"/>
      <c r="B625" s="97"/>
    </row>
    <row r="626" ht="15.75" customHeight="1">
      <c r="A626" s="97"/>
      <c r="B626" s="97"/>
    </row>
    <row r="627" ht="15.75" customHeight="1">
      <c r="A627" s="97"/>
      <c r="B627" s="97"/>
    </row>
    <row r="628" ht="15.75" customHeight="1">
      <c r="A628" s="97"/>
      <c r="B628" s="97"/>
    </row>
    <row r="629" ht="15.75" customHeight="1">
      <c r="A629" s="97"/>
      <c r="B629" s="97"/>
    </row>
    <row r="630" ht="15.75" customHeight="1">
      <c r="A630" s="97"/>
      <c r="B630" s="97"/>
    </row>
    <row r="631" ht="15.75" customHeight="1">
      <c r="A631" s="97"/>
      <c r="B631" s="97"/>
    </row>
    <row r="632" ht="15.75" customHeight="1">
      <c r="A632" s="97"/>
      <c r="B632" s="97"/>
    </row>
    <row r="633" ht="15.75" customHeight="1">
      <c r="A633" s="97"/>
      <c r="B633" s="97"/>
    </row>
    <row r="634" ht="15.75" customHeight="1">
      <c r="A634" s="97"/>
      <c r="B634" s="97"/>
    </row>
    <row r="635" ht="15.75" customHeight="1">
      <c r="A635" s="97"/>
      <c r="B635" s="97"/>
    </row>
    <row r="636" ht="15.75" customHeight="1">
      <c r="A636" s="97"/>
      <c r="B636" s="97"/>
    </row>
    <row r="637" ht="15.75" customHeight="1">
      <c r="A637" s="97"/>
      <c r="B637" s="97"/>
    </row>
    <row r="638" ht="15.75" customHeight="1">
      <c r="A638" s="97"/>
      <c r="B638" s="97"/>
    </row>
    <row r="639" ht="15.75" customHeight="1">
      <c r="A639" s="97"/>
      <c r="B639" s="97"/>
    </row>
    <row r="640" ht="15.75" customHeight="1">
      <c r="A640" s="97"/>
      <c r="B640" s="97"/>
    </row>
    <row r="641" ht="15.75" customHeight="1">
      <c r="A641" s="97"/>
      <c r="B641" s="97"/>
    </row>
    <row r="642" ht="15.75" customHeight="1">
      <c r="A642" s="97"/>
      <c r="B642" s="97"/>
    </row>
    <row r="643" ht="15.75" customHeight="1">
      <c r="A643" s="97"/>
      <c r="B643" s="97"/>
    </row>
    <row r="644" ht="15.75" customHeight="1">
      <c r="A644" s="97"/>
      <c r="B644" s="97"/>
    </row>
    <row r="645" ht="15.75" customHeight="1">
      <c r="A645" s="97"/>
      <c r="B645" s="97"/>
    </row>
    <row r="646" ht="15.75" customHeight="1">
      <c r="A646" s="97"/>
      <c r="B646" s="97"/>
    </row>
    <row r="647" ht="15.75" customHeight="1">
      <c r="A647" s="97"/>
      <c r="B647" s="97"/>
    </row>
    <row r="648" ht="15.75" customHeight="1">
      <c r="A648" s="97"/>
      <c r="B648" s="97"/>
    </row>
    <row r="649" ht="15.75" customHeight="1">
      <c r="A649" s="97"/>
      <c r="B649" s="97"/>
    </row>
    <row r="650" ht="15.75" customHeight="1">
      <c r="A650" s="97"/>
      <c r="B650" s="97"/>
    </row>
    <row r="651" ht="15.75" customHeight="1">
      <c r="A651" s="97"/>
      <c r="B651" s="97"/>
    </row>
    <row r="652" ht="15.75" customHeight="1">
      <c r="A652" s="97"/>
      <c r="B652" s="97"/>
    </row>
    <row r="653" ht="15.75" customHeight="1">
      <c r="A653" s="97"/>
      <c r="B653" s="97"/>
    </row>
    <row r="654" ht="15.75" customHeight="1">
      <c r="A654" s="97"/>
      <c r="B654" s="97"/>
    </row>
    <row r="655" ht="15.75" customHeight="1">
      <c r="A655" s="97"/>
      <c r="B655" s="97"/>
    </row>
    <row r="656" ht="15.75" customHeight="1">
      <c r="A656" s="97"/>
      <c r="B656" s="97"/>
    </row>
    <row r="657" ht="15.75" customHeight="1">
      <c r="A657" s="97"/>
      <c r="B657" s="97"/>
    </row>
    <row r="658" ht="15.75" customHeight="1">
      <c r="A658" s="97"/>
      <c r="B658" s="97"/>
    </row>
    <row r="659" ht="15.75" customHeight="1">
      <c r="A659" s="97"/>
      <c r="B659" s="97"/>
    </row>
    <row r="660" ht="15.75" customHeight="1">
      <c r="A660" s="97"/>
      <c r="B660" s="97"/>
    </row>
    <row r="661" ht="15.75" customHeight="1">
      <c r="A661" s="97"/>
      <c r="B661" s="97"/>
    </row>
    <row r="662" ht="15.75" customHeight="1">
      <c r="A662" s="97"/>
      <c r="B662" s="97"/>
    </row>
    <row r="663" ht="15.75" customHeight="1">
      <c r="A663" s="97"/>
      <c r="B663" s="97"/>
    </row>
    <row r="664" ht="15.75" customHeight="1">
      <c r="A664" s="97"/>
      <c r="B664" s="97"/>
    </row>
    <row r="665" ht="15.75" customHeight="1">
      <c r="A665" s="97"/>
      <c r="B665" s="97"/>
    </row>
    <row r="666" ht="15.75" customHeight="1">
      <c r="A666" s="97"/>
      <c r="B666" s="97"/>
    </row>
    <row r="667" ht="15.75" customHeight="1">
      <c r="A667" s="97"/>
      <c r="B667" s="97"/>
    </row>
    <row r="668" ht="15.75" customHeight="1">
      <c r="A668" s="97"/>
      <c r="B668" s="97"/>
    </row>
    <row r="669" ht="15.75" customHeight="1">
      <c r="A669" s="97"/>
      <c r="B669" s="97"/>
    </row>
    <row r="670" ht="15.75" customHeight="1">
      <c r="A670" s="97"/>
      <c r="B670" s="97"/>
    </row>
    <row r="671" ht="15.75" customHeight="1">
      <c r="A671" s="97"/>
      <c r="B671" s="97"/>
    </row>
    <row r="672" ht="15.75" customHeight="1">
      <c r="A672" s="97"/>
      <c r="B672" s="97"/>
    </row>
    <row r="673" ht="15.75" customHeight="1">
      <c r="A673" s="97"/>
      <c r="B673" s="97"/>
    </row>
    <row r="674" ht="15.75" customHeight="1">
      <c r="A674" s="97"/>
      <c r="B674" s="97"/>
    </row>
    <row r="675" ht="15.75" customHeight="1">
      <c r="A675" s="97"/>
      <c r="B675" s="97"/>
    </row>
    <row r="676" ht="15.75" customHeight="1">
      <c r="A676" s="97"/>
      <c r="B676" s="97"/>
    </row>
    <row r="677" ht="15.75" customHeight="1">
      <c r="A677" s="97"/>
      <c r="B677" s="97"/>
    </row>
    <row r="678" ht="15.75" customHeight="1">
      <c r="A678" s="97"/>
      <c r="B678" s="97"/>
    </row>
    <row r="679" ht="15.75" customHeight="1">
      <c r="A679" s="97"/>
      <c r="B679" s="97"/>
    </row>
    <row r="680" ht="15.75" customHeight="1">
      <c r="A680" s="97"/>
      <c r="B680" s="97"/>
    </row>
    <row r="681" ht="15.75" customHeight="1">
      <c r="A681" s="97"/>
      <c r="B681" s="97"/>
    </row>
    <row r="682" ht="15.75" customHeight="1">
      <c r="A682" s="97"/>
      <c r="B682" s="97"/>
    </row>
    <row r="683" ht="15.75" customHeight="1">
      <c r="A683" s="97"/>
      <c r="B683" s="97"/>
    </row>
    <row r="684" ht="15.75" customHeight="1">
      <c r="A684" s="97"/>
      <c r="B684" s="97"/>
    </row>
    <row r="685" ht="15.75" customHeight="1">
      <c r="A685" s="97"/>
      <c r="B685" s="97"/>
    </row>
    <row r="686" ht="15.75" customHeight="1">
      <c r="A686" s="97"/>
      <c r="B686" s="97"/>
    </row>
    <row r="687" ht="15.75" customHeight="1">
      <c r="A687" s="97"/>
      <c r="B687" s="97"/>
    </row>
    <row r="688" ht="15.75" customHeight="1">
      <c r="A688" s="97"/>
      <c r="B688" s="97"/>
    </row>
    <row r="689" ht="15.75" customHeight="1">
      <c r="A689" s="97"/>
      <c r="B689" s="97"/>
    </row>
    <row r="690" ht="15.75" customHeight="1">
      <c r="A690" s="97"/>
      <c r="B690" s="97"/>
    </row>
    <row r="691" ht="15.75" customHeight="1">
      <c r="A691" s="97"/>
      <c r="B691" s="97"/>
    </row>
    <row r="692" ht="15.75" customHeight="1">
      <c r="A692" s="97"/>
      <c r="B692" s="97"/>
    </row>
    <row r="693" ht="15.75" customHeight="1">
      <c r="A693" s="97"/>
      <c r="B693" s="97"/>
    </row>
    <row r="694" ht="15.75" customHeight="1">
      <c r="A694" s="97"/>
      <c r="B694" s="97"/>
    </row>
    <row r="695" ht="15.75" customHeight="1">
      <c r="A695" s="97"/>
      <c r="B695" s="97"/>
    </row>
    <row r="696" ht="15.75" customHeight="1">
      <c r="A696" s="97"/>
      <c r="B696" s="97"/>
    </row>
    <row r="697" ht="15.75" customHeight="1">
      <c r="A697" s="97"/>
      <c r="B697" s="97"/>
    </row>
    <row r="698" ht="15.75" customHeight="1">
      <c r="A698" s="97"/>
      <c r="B698" s="97"/>
    </row>
    <row r="699" ht="15.75" customHeight="1">
      <c r="A699" s="97"/>
      <c r="B699" s="97"/>
    </row>
    <row r="700" ht="15.75" customHeight="1">
      <c r="A700" s="97"/>
      <c r="B700" s="97"/>
    </row>
    <row r="701" ht="15.75" customHeight="1">
      <c r="A701" s="97"/>
      <c r="B701" s="97"/>
    </row>
    <row r="702" ht="15.75" customHeight="1">
      <c r="A702" s="97"/>
      <c r="B702" s="97"/>
    </row>
    <row r="703" ht="15.75" customHeight="1">
      <c r="A703" s="97"/>
      <c r="B703" s="97"/>
    </row>
    <row r="704" ht="15.75" customHeight="1">
      <c r="A704" s="97"/>
      <c r="B704" s="97"/>
    </row>
    <row r="705" ht="15.75" customHeight="1">
      <c r="A705" s="97"/>
      <c r="B705" s="97"/>
    </row>
    <row r="706" ht="15.75" customHeight="1">
      <c r="A706" s="97"/>
      <c r="B706" s="97"/>
    </row>
    <row r="707" ht="15.75" customHeight="1">
      <c r="A707" s="97"/>
      <c r="B707" s="97"/>
    </row>
    <row r="708" ht="15.75" customHeight="1">
      <c r="A708" s="97"/>
      <c r="B708" s="97"/>
    </row>
    <row r="709" ht="15.75" customHeight="1">
      <c r="A709" s="97"/>
      <c r="B709" s="97"/>
    </row>
    <row r="710" ht="15.75" customHeight="1">
      <c r="A710" s="97"/>
      <c r="B710" s="97"/>
    </row>
    <row r="711" ht="15.75" customHeight="1">
      <c r="A711" s="97"/>
      <c r="B711" s="97"/>
    </row>
    <row r="712" ht="15.75" customHeight="1">
      <c r="A712" s="97"/>
      <c r="B712" s="97"/>
    </row>
    <row r="713" ht="15.75" customHeight="1">
      <c r="A713" s="97"/>
      <c r="B713" s="97"/>
    </row>
    <row r="714" ht="15.75" customHeight="1">
      <c r="A714" s="97"/>
      <c r="B714" s="97"/>
    </row>
    <row r="715" ht="15.75" customHeight="1">
      <c r="A715" s="97"/>
      <c r="B715" s="97"/>
    </row>
    <row r="716" ht="15.75" customHeight="1">
      <c r="A716" s="97"/>
      <c r="B716" s="97"/>
    </row>
    <row r="717" ht="15.75" customHeight="1">
      <c r="A717" s="97"/>
      <c r="B717" s="97"/>
    </row>
    <row r="718" ht="15.75" customHeight="1">
      <c r="A718" s="97"/>
      <c r="B718" s="97"/>
    </row>
    <row r="719" ht="15.75" customHeight="1">
      <c r="A719" s="97"/>
      <c r="B719" s="97"/>
    </row>
    <row r="720" ht="15.75" customHeight="1">
      <c r="A720" s="97"/>
      <c r="B720" s="97"/>
    </row>
    <row r="721" ht="15.75" customHeight="1">
      <c r="A721" s="97"/>
      <c r="B721" s="97"/>
    </row>
    <row r="722" ht="15.75" customHeight="1">
      <c r="A722" s="97"/>
      <c r="B722" s="97"/>
    </row>
    <row r="723" ht="15.75" customHeight="1">
      <c r="A723" s="97"/>
      <c r="B723" s="97"/>
    </row>
    <row r="724" ht="15.75" customHeight="1">
      <c r="A724" s="97"/>
      <c r="B724" s="97"/>
    </row>
    <row r="725" ht="15.75" customHeight="1">
      <c r="A725" s="97"/>
      <c r="B725" s="97"/>
    </row>
    <row r="726" ht="15.75" customHeight="1">
      <c r="A726" s="97"/>
      <c r="B726" s="97"/>
    </row>
    <row r="727" ht="15.75" customHeight="1">
      <c r="A727" s="97"/>
      <c r="B727" s="97"/>
    </row>
    <row r="728" ht="15.75" customHeight="1">
      <c r="A728" s="97"/>
      <c r="B728" s="97"/>
    </row>
    <row r="729" ht="15.75" customHeight="1">
      <c r="A729" s="97"/>
      <c r="B729" s="97"/>
    </row>
    <row r="730" ht="15.75" customHeight="1">
      <c r="A730" s="97"/>
      <c r="B730" s="97"/>
    </row>
    <row r="731" ht="15.75" customHeight="1">
      <c r="A731" s="97"/>
      <c r="B731" s="97"/>
    </row>
    <row r="732" ht="15.75" customHeight="1">
      <c r="A732" s="97"/>
      <c r="B732" s="97"/>
    </row>
    <row r="733" ht="15.75" customHeight="1">
      <c r="A733" s="97"/>
      <c r="B733" s="97"/>
    </row>
    <row r="734" ht="15.75" customHeight="1">
      <c r="A734" s="97"/>
      <c r="B734" s="97"/>
    </row>
    <row r="735" ht="15.75" customHeight="1">
      <c r="A735" s="97"/>
      <c r="B735" s="97"/>
    </row>
    <row r="736" ht="15.75" customHeight="1">
      <c r="A736" s="97"/>
      <c r="B736" s="97"/>
    </row>
    <row r="737" ht="15.75" customHeight="1">
      <c r="A737" s="97"/>
      <c r="B737" s="97"/>
    </row>
    <row r="738" ht="15.75" customHeight="1">
      <c r="A738" s="97"/>
      <c r="B738" s="97"/>
    </row>
    <row r="739" ht="15.75" customHeight="1">
      <c r="A739" s="97"/>
      <c r="B739" s="97"/>
    </row>
    <row r="740" ht="15.75" customHeight="1">
      <c r="A740" s="97"/>
      <c r="B740" s="97"/>
    </row>
    <row r="741" ht="15.75" customHeight="1">
      <c r="A741" s="97"/>
      <c r="B741" s="97"/>
    </row>
    <row r="742" ht="15.75" customHeight="1">
      <c r="A742" s="97"/>
      <c r="B742" s="97"/>
    </row>
    <row r="743" ht="15.75" customHeight="1">
      <c r="A743" s="97"/>
      <c r="B743" s="97"/>
    </row>
    <row r="744" ht="15.75" customHeight="1">
      <c r="A744" s="97"/>
      <c r="B744" s="97"/>
    </row>
    <row r="745" ht="15.75" customHeight="1">
      <c r="A745" s="97"/>
      <c r="B745" s="97"/>
    </row>
    <row r="746" ht="15.75" customHeight="1">
      <c r="A746" s="97"/>
      <c r="B746" s="97"/>
    </row>
    <row r="747" ht="15.75" customHeight="1">
      <c r="A747" s="97"/>
      <c r="B747" s="97"/>
    </row>
    <row r="748" ht="15.75" customHeight="1">
      <c r="A748" s="97"/>
      <c r="B748" s="97"/>
    </row>
    <row r="749" ht="15.75" customHeight="1">
      <c r="A749" s="97"/>
      <c r="B749" s="97"/>
    </row>
    <row r="750" ht="15.75" customHeight="1">
      <c r="A750" s="97"/>
      <c r="B750" s="97"/>
    </row>
    <row r="751" ht="15.75" customHeight="1">
      <c r="A751" s="97"/>
      <c r="B751" s="97"/>
    </row>
    <row r="752" ht="15.75" customHeight="1">
      <c r="A752" s="97"/>
      <c r="B752" s="97"/>
    </row>
    <row r="753" ht="15.75" customHeight="1">
      <c r="A753" s="97"/>
      <c r="B753" s="97"/>
    </row>
    <row r="754" ht="15.75" customHeight="1">
      <c r="A754" s="97"/>
      <c r="B754" s="97"/>
    </row>
    <row r="755" ht="15.75" customHeight="1">
      <c r="A755" s="97"/>
      <c r="B755" s="97"/>
    </row>
    <row r="756" ht="15.75" customHeight="1">
      <c r="A756" s="97"/>
      <c r="B756" s="97"/>
    </row>
    <row r="757" ht="15.75" customHeight="1">
      <c r="A757" s="97"/>
      <c r="B757" s="97"/>
    </row>
    <row r="758" ht="15.75" customHeight="1">
      <c r="A758" s="97"/>
      <c r="B758" s="97"/>
    </row>
    <row r="759" ht="15.75" customHeight="1">
      <c r="A759" s="97"/>
      <c r="B759" s="97"/>
    </row>
    <row r="760" ht="15.75" customHeight="1">
      <c r="A760" s="97"/>
      <c r="B760" s="97"/>
    </row>
    <row r="761" ht="15.75" customHeight="1">
      <c r="A761" s="97"/>
      <c r="B761" s="97"/>
    </row>
    <row r="762" ht="15.75" customHeight="1">
      <c r="A762" s="97"/>
      <c r="B762" s="97"/>
    </row>
    <row r="763" ht="15.75" customHeight="1">
      <c r="A763" s="97"/>
      <c r="B763" s="97"/>
    </row>
    <row r="764" ht="15.75" customHeight="1">
      <c r="A764" s="97"/>
      <c r="B764" s="97"/>
    </row>
    <row r="765" ht="15.75" customHeight="1">
      <c r="A765" s="97"/>
      <c r="B765" s="97"/>
    </row>
    <row r="766" ht="15.75" customHeight="1">
      <c r="A766" s="97"/>
      <c r="B766" s="97"/>
    </row>
    <row r="767" ht="15.75" customHeight="1">
      <c r="A767" s="97"/>
      <c r="B767" s="97"/>
    </row>
    <row r="768" ht="15.75" customHeight="1">
      <c r="A768" s="97"/>
      <c r="B768" s="97"/>
    </row>
    <row r="769" ht="15.75" customHeight="1">
      <c r="A769" s="97"/>
      <c r="B769" s="97"/>
    </row>
    <row r="770" ht="15.75" customHeight="1">
      <c r="A770" s="97"/>
      <c r="B770" s="97"/>
    </row>
    <row r="771" ht="15.75" customHeight="1">
      <c r="A771" s="97"/>
      <c r="B771" s="97"/>
    </row>
    <row r="772" ht="15.75" customHeight="1">
      <c r="A772" s="97"/>
      <c r="B772" s="97"/>
    </row>
    <row r="773" ht="15.75" customHeight="1">
      <c r="A773" s="97"/>
      <c r="B773" s="97"/>
    </row>
    <row r="774" ht="15.75" customHeight="1">
      <c r="A774" s="97"/>
      <c r="B774" s="97"/>
    </row>
    <row r="775" ht="15.75" customHeight="1">
      <c r="A775" s="97"/>
      <c r="B775" s="97"/>
    </row>
    <row r="776" ht="15.75" customHeight="1">
      <c r="A776" s="97"/>
      <c r="B776" s="97"/>
    </row>
    <row r="777" ht="15.75" customHeight="1">
      <c r="A777" s="97"/>
      <c r="B777" s="97"/>
    </row>
    <row r="778" ht="15.75" customHeight="1">
      <c r="A778" s="97"/>
      <c r="B778" s="97"/>
    </row>
    <row r="779" ht="15.75" customHeight="1">
      <c r="A779" s="97"/>
      <c r="B779" s="97"/>
    </row>
    <row r="780" ht="15.75" customHeight="1">
      <c r="A780" s="97"/>
      <c r="B780" s="97"/>
    </row>
    <row r="781" ht="15.75" customHeight="1">
      <c r="A781" s="97"/>
      <c r="B781" s="97"/>
    </row>
    <row r="782" ht="15.75" customHeight="1">
      <c r="A782" s="97"/>
      <c r="B782" s="97"/>
    </row>
    <row r="783" ht="15.75" customHeight="1">
      <c r="A783" s="97"/>
      <c r="B783" s="97"/>
    </row>
    <row r="784" ht="15.75" customHeight="1">
      <c r="A784" s="97"/>
      <c r="B784" s="97"/>
    </row>
    <row r="785" ht="15.75" customHeight="1">
      <c r="A785" s="97"/>
      <c r="B785" s="97"/>
    </row>
    <row r="786" ht="15.75" customHeight="1">
      <c r="A786" s="97"/>
      <c r="B786" s="97"/>
    </row>
    <row r="787" ht="15.75" customHeight="1">
      <c r="A787" s="97"/>
      <c r="B787" s="97"/>
    </row>
    <row r="788" ht="15.75" customHeight="1">
      <c r="A788" s="97"/>
      <c r="B788" s="97"/>
    </row>
    <row r="789" ht="15.75" customHeight="1">
      <c r="A789" s="97"/>
      <c r="B789" s="97"/>
    </row>
    <row r="790" ht="15.75" customHeight="1">
      <c r="A790" s="97"/>
      <c r="B790" s="97"/>
    </row>
    <row r="791" ht="15.75" customHeight="1">
      <c r="A791" s="97"/>
      <c r="B791" s="97"/>
    </row>
    <row r="792" ht="15.75" customHeight="1">
      <c r="A792" s="97"/>
      <c r="B792" s="97"/>
    </row>
    <row r="793" ht="15.75" customHeight="1">
      <c r="A793" s="97"/>
      <c r="B793" s="97"/>
    </row>
    <row r="794" ht="15.75" customHeight="1">
      <c r="A794" s="97"/>
      <c r="B794" s="97"/>
    </row>
    <row r="795" ht="15.75" customHeight="1">
      <c r="A795" s="97"/>
      <c r="B795" s="97"/>
    </row>
    <row r="796" ht="15.75" customHeight="1">
      <c r="A796" s="97"/>
      <c r="B796" s="97"/>
    </row>
    <row r="797" ht="15.75" customHeight="1">
      <c r="A797" s="97"/>
      <c r="B797" s="97"/>
    </row>
    <row r="798" ht="15.75" customHeight="1">
      <c r="A798" s="97"/>
      <c r="B798" s="97"/>
    </row>
    <row r="799" ht="15.75" customHeight="1">
      <c r="A799" s="97"/>
      <c r="B799" s="97"/>
    </row>
    <row r="800" ht="15.75" customHeight="1">
      <c r="A800" s="97"/>
      <c r="B800" s="97"/>
    </row>
    <row r="801" ht="15.75" customHeight="1">
      <c r="A801" s="97"/>
      <c r="B801" s="97"/>
    </row>
    <row r="802" ht="15.75" customHeight="1">
      <c r="A802" s="97"/>
      <c r="B802" s="97"/>
    </row>
    <row r="803" ht="15.75" customHeight="1">
      <c r="A803" s="97"/>
      <c r="B803" s="97"/>
    </row>
    <row r="804" ht="15.75" customHeight="1">
      <c r="A804" s="97"/>
      <c r="B804" s="97"/>
    </row>
    <row r="805" ht="15.75" customHeight="1">
      <c r="A805" s="97"/>
      <c r="B805" s="97"/>
    </row>
    <row r="806" ht="15.75" customHeight="1">
      <c r="A806" s="97"/>
      <c r="B806" s="97"/>
    </row>
    <row r="807" ht="15.75" customHeight="1">
      <c r="A807" s="97"/>
      <c r="B807" s="97"/>
    </row>
    <row r="808" ht="15.75" customHeight="1">
      <c r="A808" s="97"/>
      <c r="B808" s="97"/>
    </row>
    <row r="809" ht="15.75" customHeight="1">
      <c r="A809" s="97"/>
      <c r="B809" s="97"/>
    </row>
    <row r="810" ht="15.75" customHeight="1">
      <c r="A810" s="97"/>
      <c r="B810" s="97"/>
    </row>
    <row r="811" ht="15.75" customHeight="1">
      <c r="A811" s="97"/>
      <c r="B811" s="97"/>
    </row>
    <row r="812" ht="15.75" customHeight="1">
      <c r="A812" s="97"/>
      <c r="B812" s="97"/>
    </row>
    <row r="813" ht="15.75" customHeight="1">
      <c r="A813" s="97"/>
      <c r="B813" s="97"/>
    </row>
    <row r="814" ht="15.75" customHeight="1">
      <c r="A814" s="97"/>
      <c r="B814" s="97"/>
    </row>
    <row r="815" ht="15.75" customHeight="1">
      <c r="A815" s="97"/>
      <c r="B815" s="97"/>
    </row>
    <row r="816" ht="15.75" customHeight="1">
      <c r="A816" s="97"/>
      <c r="B816" s="97"/>
    </row>
    <row r="817" ht="15.75" customHeight="1">
      <c r="A817" s="97"/>
      <c r="B817" s="97"/>
    </row>
    <row r="818" ht="15.75" customHeight="1">
      <c r="A818" s="97"/>
      <c r="B818" s="97"/>
    </row>
    <row r="819" ht="15.75" customHeight="1">
      <c r="A819" s="97"/>
      <c r="B819" s="97"/>
    </row>
    <row r="820" ht="15.75" customHeight="1">
      <c r="A820" s="97"/>
      <c r="B820" s="97"/>
    </row>
    <row r="821" ht="15.75" customHeight="1">
      <c r="A821" s="97"/>
      <c r="B821" s="97"/>
    </row>
    <row r="822" ht="15.75" customHeight="1">
      <c r="A822" s="97"/>
      <c r="B822" s="97"/>
    </row>
    <row r="823" ht="15.75" customHeight="1">
      <c r="A823" s="97"/>
      <c r="B823" s="97"/>
    </row>
    <row r="824" ht="15.75" customHeight="1">
      <c r="A824" s="97"/>
      <c r="B824" s="97"/>
    </row>
    <row r="825" ht="15.75" customHeight="1">
      <c r="A825" s="97"/>
      <c r="B825" s="97"/>
    </row>
    <row r="826" ht="15.75" customHeight="1">
      <c r="A826" s="97"/>
      <c r="B826" s="97"/>
    </row>
    <row r="827" ht="15.75" customHeight="1">
      <c r="A827" s="97"/>
      <c r="B827" s="97"/>
    </row>
    <row r="828" ht="15.75" customHeight="1">
      <c r="A828" s="97"/>
      <c r="B828" s="97"/>
    </row>
    <row r="829" ht="15.75" customHeight="1">
      <c r="A829" s="97"/>
      <c r="B829" s="97"/>
    </row>
    <row r="830" ht="15.75" customHeight="1">
      <c r="A830" s="97"/>
      <c r="B830" s="97"/>
    </row>
    <row r="831" ht="15.75" customHeight="1">
      <c r="A831" s="97"/>
      <c r="B831" s="97"/>
    </row>
    <row r="832" ht="15.75" customHeight="1">
      <c r="A832" s="97"/>
      <c r="B832" s="97"/>
    </row>
    <row r="833" ht="15.75" customHeight="1">
      <c r="A833" s="97"/>
      <c r="B833" s="97"/>
    </row>
    <row r="834" ht="15.75" customHeight="1">
      <c r="A834" s="97"/>
      <c r="B834" s="97"/>
    </row>
    <row r="835" ht="15.75" customHeight="1">
      <c r="A835" s="97"/>
      <c r="B835" s="97"/>
    </row>
    <row r="836" ht="15.75" customHeight="1">
      <c r="A836" s="97"/>
      <c r="B836" s="97"/>
    </row>
    <row r="837" ht="15.75" customHeight="1">
      <c r="A837" s="97"/>
      <c r="B837" s="97"/>
    </row>
    <row r="838" ht="15.75" customHeight="1">
      <c r="A838" s="97"/>
      <c r="B838" s="97"/>
    </row>
    <row r="839" ht="15.75" customHeight="1">
      <c r="A839" s="97"/>
      <c r="B839" s="97"/>
    </row>
    <row r="840" ht="15.75" customHeight="1">
      <c r="A840" s="97"/>
      <c r="B840" s="97"/>
    </row>
    <row r="841" ht="15.75" customHeight="1">
      <c r="A841" s="97"/>
      <c r="B841" s="97"/>
    </row>
    <row r="842" ht="15.75" customHeight="1">
      <c r="A842" s="97"/>
      <c r="B842" s="97"/>
    </row>
    <row r="843" ht="15.75" customHeight="1">
      <c r="A843" s="97"/>
      <c r="B843" s="97"/>
    </row>
    <row r="844" ht="15.75" customHeight="1">
      <c r="A844" s="97"/>
      <c r="B844" s="97"/>
    </row>
    <row r="845" ht="15.75" customHeight="1">
      <c r="A845" s="97"/>
      <c r="B845" s="97"/>
    </row>
    <row r="846" ht="15.75" customHeight="1">
      <c r="A846" s="97"/>
      <c r="B846" s="97"/>
    </row>
    <row r="847" ht="15.75" customHeight="1">
      <c r="A847" s="97"/>
      <c r="B847" s="97"/>
    </row>
    <row r="848" ht="15.75" customHeight="1">
      <c r="A848" s="97"/>
      <c r="B848" s="97"/>
    </row>
    <row r="849" ht="15.75" customHeight="1">
      <c r="A849" s="97"/>
      <c r="B849" s="97"/>
    </row>
    <row r="850" ht="15.75" customHeight="1">
      <c r="A850" s="97"/>
      <c r="B850" s="97"/>
    </row>
    <row r="851" ht="15.75" customHeight="1">
      <c r="A851" s="97"/>
      <c r="B851" s="97"/>
    </row>
    <row r="852" ht="15.75" customHeight="1">
      <c r="A852" s="97"/>
      <c r="B852" s="97"/>
    </row>
    <row r="853" ht="15.75" customHeight="1">
      <c r="A853" s="97"/>
      <c r="B853" s="97"/>
    </row>
    <row r="854" ht="15.75" customHeight="1">
      <c r="A854" s="97"/>
      <c r="B854" s="97"/>
    </row>
    <row r="855" ht="15.75" customHeight="1">
      <c r="A855" s="97"/>
      <c r="B855" s="97"/>
    </row>
    <row r="856" ht="15.75" customHeight="1">
      <c r="A856" s="97"/>
      <c r="B856" s="97"/>
    </row>
    <row r="857" ht="15.75" customHeight="1">
      <c r="A857" s="97"/>
      <c r="B857" s="97"/>
    </row>
    <row r="858" ht="15.75" customHeight="1">
      <c r="A858" s="97"/>
      <c r="B858" s="97"/>
    </row>
    <row r="859" ht="15.75" customHeight="1">
      <c r="A859" s="97"/>
      <c r="B859" s="97"/>
    </row>
    <row r="860" ht="15.75" customHeight="1">
      <c r="A860" s="97"/>
      <c r="B860" s="97"/>
    </row>
    <row r="861" ht="15.75" customHeight="1">
      <c r="A861" s="97"/>
      <c r="B861" s="97"/>
    </row>
    <row r="862" ht="15.75" customHeight="1">
      <c r="A862" s="97"/>
      <c r="B862" s="97"/>
    </row>
    <row r="863" ht="15.75" customHeight="1">
      <c r="A863" s="97"/>
      <c r="B863" s="97"/>
    </row>
    <row r="864" ht="15.75" customHeight="1">
      <c r="A864" s="97"/>
      <c r="B864" s="97"/>
    </row>
    <row r="865" ht="15.75" customHeight="1">
      <c r="A865" s="97"/>
      <c r="B865" s="97"/>
    </row>
    <row r="866" ht="15.75" customHeight="1">
      <c r="A866" s="97"/>
      <c r="B866" s="97"/>
    </row>
    <row r="867" ht="15.75" customHeight="1">
      <c r="A867" s="97"/>
      <c r="B867" s="97"/>
    </row>
    <row r="868" ht="15.75" customHeight="1">
      <c r="A868" s="97"/>
      <c r="B868" s="97"/>
    </row>
    <row r="869" ht="15.75" customHeight="1">
      <c r="A869" s="97"/>
      <c r="B869" s="97"/>
    </row>
    <row r="870" ht="15.75" customHeight="1">
      <c r="A870" s="97"/>
      <c r="B870" s="97"/>
    </row>
    <row r="871" ht="15.75" customHeight="1">
      <c r="A871" s="97"/>
      <c r="B871" s="97"/>
    </row>
    <row r="872" ht="15.75" customHeight="1">
      <c r="A872" s="97"/>
      <c r="B872" s="97"/>
    </row>
    <row r="873" ht="15.75" customHeight="1">
      <c r="A873" s="97"/>
      <c r="B873" s="97"/>
    </row>
    <row r="874" ht="15.75" customHeight="1">
      <c r="A874" s="97"/>
      <c r="B874" s="97"/>
    </row>
    <row r="875" ht="15.75" customHeight="1">
      <c r="A875" s="97"/>
      <c r="B875" s="97"/>
    </row>
    <row r="876" ht="15.75" customHeight="1">
      <c r="A876" s="97"/>
      <c r="B876" s="97"/>
    </row>
    <row r="877" ht="15.75" customHeight="1">
      <c r="A877" s="97"/>
      <c r="B877" s="97"/>
    </row>
    <row r="878" ht="15.75" customHeight="1">
      <c r="A878" s="97"/>
      <c r="B878" s="97"/>
    </row>
    <row r="879" ht="15.75" customHeight="1">
      <c r="A879" s="97"/>
      <c r="B879" s="97"/>
    </row>
    <row r="880" ht="15.75" customHeight="1">
      <c r="A880" s="97"/>
      <c r="B880" s="97"/>
    </row>
    <row r="881" ht="15.75" customHeight="1">
      <c r="A881" s="97"/>
      <c r="B881" s="97"/>
    </row>
    <row r="882" ht="15.75" customHeight="1">
      <c r="A882" s="97"/>
      <c r="B882" s="97"/>
    </row>
    <row r="883" ht="15.75" customHeight="1">
      <c r="A883" s="97"/>
      <c r="B883" s="97"/>
    </row>
    <row r="884" ht="15.75" customHeight="1">
      <c r="A884" s="97"/>
      <c r="B884" s="97"/>
    </row>
    <row r="885" ht="15.75" customHeight="1">
      <c r="A885" s="97"/>
      <c r="B885" s="97"/>
    </row>
    <row r="886" ht="15.75" customHeight="1">
      <c r="A886" s="97"/>
      <c r="B886" s="97"/>
    </row>
    <row r="887" ht="15.75" customHeight="1">
      <c r="A887" s="97"/>
      <c r="B887" s="97"/>
    </row>
    <row r="888" ht="15.75" customHeight="1">
      <c r="A888" s="97"/>
      <c r="B888" s="97"/>
    </row>
    <row r="889" ht="15.75" customHeight="1">
      <c r="A889" s="97"/>
      <c r="B889" s="97"/>
    </row>
    <row r="890" ht="15.75" customHeight="1">
      <c r="A890" s="97"/>
      <c r="B890" s="97"/>
    </row>
    <row r="891" ht="15.75" customHeight="1">
      <c r="A891" s="97"/>
      <c r="B891" s="97"/>
    </row>
    <row r="892" ht="15.75" customHeight="1">
      <c r="A892" s="97"/>
      <c r="B892" s="97"/>
    </row>
    <row r="893" ht="15.75" customHeight="1">
      <c r="A893" s="97"/>
      <c r="B893" s="97"/>
    </row>
    <row r="894" ht="15.75" customHeight="1">
      <c r="A894" s="97"/>
      <c r="B894" s="97"/>
    </row>
    <row r="895" ht="15.75" customHeight="1">
      <c r="A895" s="97"/>
      <c r="B895" s="97"/>
    </row>
    <row r="896" ht="15.75" customHeight="1">
      <c r="A896" s="97"/>
      <c r="B896" s="97"/>
    </row>
    <row r="897" ht="15.75" customHeight="1">
      <c r="A897" s="97"/>
      <c r="B897" s="97"/>
    </row>
    <row r="898" ht="15.75" customHeight="1">
      <c r="A898" s="97"/>
      <c r="B898" s="97"/>
    </row>
    <row r="899" ht="15.75" customHeight="1">
      <c r="A899" s="97"/>
      <c r="B899" s="97"/>
    </row>
    <row r="900" ht="15.75" customHeight="1">
      <c r="A900" s="97"/>
      <c r="B900" s="97"/>
    </row>
    <row r="901" ht="15.75" customHeight="1">
      <c r="A901" s="97"/>
      <c r="B901" s="97"/>
    </row>
    <row r="902" ht="15.75" customHeight="1">
      <c r="A902" s="97"/>
      <c r="B902" s="97"/>
    </row>
    <row r="903" ht="15.75" customHeight="1">
      <c r="A903" s="97"/>
      <c r="B903" s="97"/>
    </row>
    <row r="904" ht="15.75" customHeight="1">
      <c r="A904" s="97"/>
      <c r="B904" s="97"/>
    </row>
    <row r="905" ht="15.75" customHeight="1">
      <c r="A905" s="97"/>
      <c r="B905" s="97"/>
    </row>
    <row r="906" ht="15.75" customHeight="1">
      <c r="A906" s="97"/>
      <c r="B906" s="97"/>
    </row>
    <row r="907" ht="15.75" customHeight="1">
      <c r="A907" s="97"/>
      <c r="B907" s="97"/>
    </row>
    <row r="908" ht="15.75" customHeight="1">
      <c r="A908" s="97"/>
      <c r="B908" s="97"/>
    </row>
    <row r="909" ht="15.75" customHeight="1">
      <c r="A909" s="97"/>
      <c r="B909" s="97"/>
    </row>
    <row r="910" ht="15.75" customHeight="1">
      <c r="A910" s="97"/>
      <c r="B910" s="97"/>
    </row>
    <row r="911" ht="15.75" customHeight="1">
      <c r="A911" s="97"/>
      <c r="B911" s="97"/>
    </row>
    <row r="912" ht="15.75" customHeight="1">
      <c r="A912" s="97"/>
      <c r="B912" s="97"/>
    </row>
    <row r="913" ht="15.75" customHeight="1">
      <c r="A913" s="97"/>
      <c r="B913" s="97"/>
    </row>
    <row r="914" ht="15.75" customHeight="1">
      <c r="A914" s="97"/>
      <c r="B914" s="97"/>
    </row>
    <row r="915" ht="15.75" customHeight="1">
      <c r="A915" s="97"/>
      <c r="B915" s="97"/>
    </row>
    <row r="916" ht="15.75" customHeight="1">
      <c r="A916" s="97"/>
      <c r="B916" s="97"/>
    </row>
    <row r="917" ht="15.75" customHeight="1">
      <c r="A917" s="97"/>
      <c r="B917" s="97"/>
    </row>
    <row r="918" ht="15.75" customHeight="1">
      <c r="A918" s="97"/>
      <c r="B918" s="97"/>
    </row>
    <row r="919" ht="15.75" customHeight="1">
      <c r="A919" s="97"/>
      <c r="B919" s="97"/>
    </row>
    <row r="920" ht="15.75" customHeight="1">
      <c r="A920" s="97"/>
      <c r="B920" s="97"/>
    </row>
    <row r="921" ht="15.75" customHeight="1">
      <c r="A921" s="97"/>
      <c r="B921" s="97"/>
    </row>
    <row r="922" ht="15.75" customHeight="1">
      <c r="A922" s="97"/>
      <c r="B922" s="97"/>
    </row>
    <row r="923" ht="15.75" customHeight="1">
      <c r="A923" s="97"/>
      <c r="B923" s="97"/>
    </row>
    <row r="924" ht="15.75" customHeight="1">
      <c r="A924" s="97"/>
      <c r="B924" s="97"/>
    </row>
    <row r="925" ht="15.75" customHeight="1">
      <c r="A925" s="97"/>
      <c r="B925" s="97"/>
    </row>
    <row r="926" ht="15.75" customHeight="1">
      <c r="A926" s="97"/>
      <c r="B926" s="97"/>
    </row>
    <row r="927" ht="15.75" customHeight="1">
      <c r="A927" s="97"/>
      <c r="B927" s="97"/>
    </row>
    <row r="928" ht="15.75" customHeight="1">
      <c r="A928" s="97"/>
      <c r="B928" s="97"/>
    </row>
    <row r="929" ht="15.75" customHeight="1">
      <c r="A929" s="97"/>
      <c r="B929" s="97"/>
    </row>
    <row r="930" ht="15.75" customHeight="1">
      <c r="A930" s="97"/>
      <c r="B930" s="97"/>
    </row>
    <row r="931" ht="15.75" customHeight="1">
      <c r="A931" s="97"/>
      <c r="B931" s="97"/>
    </row>
    <row r="932" ht="15.75" customHeight="1">
      <c r="A932" s="97"/>
      <c r="B932" s="97"/>
    </row>
    <row r="933" ht="15.75" customHeight="1">
      <c r="A933" s="97"/>
      <c r="B933" s="97"/>
    </row>
    <row r="934" ht="15.75" customHeight="1">
      <c r="A934" s="97"/>
      <c r="B934" s="97"/>
    </row>
    <row r="935" ht="15.75" customHeight="1">
      <c r="A935" s="97"/>
      <c r="B935" s="97"/>
    </row>
    <row r="936" ht="15.75" customHeight="1">
      <c r="A936" s="97"/>
      <c r="B936" s="97"/>
    </row>
    <row r="937" ht="15.75" customHeight="1">
      <c r="A937" s="97"/>
      <c r="B937" s="97"/>
    </row>
    <row r="938" ht="15.75" customHeight="1">
      <c r="A938" s="97"/>
      <c r="B938" s="97"/>
    </row>
    <row r="939" ht="15.75" customHeight="1">
      <c r="A939" s="97"/>
      <c r="B939" s="97"/>
    </row>
    <row r="940" ht="15.75" customHeight="1">
      <c r="A940" s="97"/>
      <c r="B940" s="97"/>
    </row>
    <row r="941" ht="15.75" customHeight="1">
      <c r="A941" s="97"/>
      <c r="B941" s="97"/>
    </row>
    <row r="942" ht="15.75" customHeight="1">
      <c r="A942" s="97"/>
      <c r="B942" s="97"/>
    </row>
    <row r="943" ht="15.75" customHeight="1">
      <c r="A943" s="97"/>
      <c r="B943" s="97"/>
    </row>
    <row r="944" ht="15.75" customHeight="1">
      <c r="A944" s="97"/>
      <c r="B944" s="97"/>
    </row>
    <row r="945" ht="15.75" customHeight="1">
      <c r="A945" s="97"/>
      <c r="B945" s="97"/>
    </row>
    <row r="946" ht="15.75" customHeight="1">
      <c r="A946" s="97"/>
      <c r="B946" s="97"/>
    </row>
    <row r="947" ht="15.75" customHeight="1">
      <c r="A947" s="97"/>
      <c r="B947" s="97"/>
    </row>
    <row r="948" ht="15.75" customHeight="1">
      <c r="A948" s="97"/>
      <c r="B948" s="97"/>
    </row>
    <row r="949" ht="15.75" customHeight="1">
      <c r="A949" s="97"/>
      <c r="B949" s="97"/>
    </row>
    <row r="950" ht="15.75" customHeight="1">
      <c r="A950" s="97"/>
      <c r="B950" s="97"/>
    </row>
    <row r="951" ht="15.75" customHeight="1">
      <c r="A951" s="97"/>
      <c r="B951" s="97"/>
    </row>
    <row r="952" ht="15.75" customHeight="1">
      <c r="A952" s="97"/>
      <c r="B952" s="97"/>
    </row>
    <row r="953" ht="15.75" customHeight="1">
      <c r="A953" s="97"/>
      <c r="B953" s="97"/>
    </row>
    <row r="954" ht="15.75" customHeight="1">
      <c r="A954" s="97"/>
      <c r="B954" s="97"/>
    </row>
    <row r="955" ht="15.75" customHeight="1">
      <c r="A955" s="97"/>
      <c r="B955" s="97"/>
    </row>
    <row r="956" ht="15.75" customHeight="1">
      <c r="A956" s="97"/>
      <c r="B956" s="97"/>
    </row>
    <row r="957" ht="15.75" customHeight="1">
      <c r="A957" s="97"/>
      <c r="B957" s="97"/>
    </row>
    <row r="958" ht="15.75" customHeight="1">
      <c r="A958" s="97"/>
      <c r="B958" s="97"/>
    </row>
    <row r="959" ht="15.75" customHeight="1">
      <c r="A959" s="97"/>
      <c r="B959" s="97"/>
    </row>
    <row r="960" ht="15.75" customHeight="1">
      <c r="A960" s="97"/>
      <c r="B960" s="97"/>
    </row>
    <row r="961" ht="15.75" customHeight="1">
      <c r="A961" s="97"/>
      <c r="B961" s="97"/>
    </row>
    <row r="962" ht="15.75" customHeight="1">
      <c r="A962" s="97"/>
      <c r="B962" s="97"/>
    </row>
    <row r="963" ht="15.75" customHeight="1">
      <c r="A963" s="97"/>
      <c r="B963" s="97"/>
    </row>
    <row r="964" ht="15.75" customHeight="1">
      <c r="A964" s="97"/>
      <c r="B964" s="97"/>
    </row>
    <row r="965" ht="15.75" customHeight="1">
      <c r="A965" s="97"/>
      <c r="B965" s="97"/>
    </row>
    <row r="966" ht="15.75" customHeight="1">
      <c r="A966" s="97"/>
      <c r="B966" s="97"/>
    </row>
    <row r="967" ht="15.75" customHeight="1">
      <c r="A967" s="97"/>
      <c r="B967" s="97"/>
    </row>
    <row r="968" ht="15.75" customHeight="1">
      <c r="A968" s="97"/>
      <c r="B968" s="97"/>
    </row>
    <row r="969" ht="15.75" customHeight="1">
      <c r="A969" s="97"/>
      <c r="B969" s="97"/>
    </row>
    <row r="970" ht="15.75" customHeight="1">
      <c r="A970" s="97"/>
      <c r="B970" s="97"/>
    </row>
    <row r="971" ht="15.75" customHeight="1">
      <c r="A971" s="97"/>
      <c r="B971" s="97"/>
    </row>
    <row r="972" ht="15.75" customHeight="1">
      <c r="A972" s="97"/>
      <c r="B972" s="97"/>
    </row>
    <row r="973" ht="15.75" customHeight="1">
      <c r="A973" s="97"/>
      <c r="B973" s="97"/>
    </row>
    <row r="974" ht="15.75" customHeight="1">
      <c r="A974" s="97"/>
      <c r="B974" s="97"/>
    </row>
    <row r="975" ht="15.75" customHeight="1">
      <c r="A975" s="97"/>
      <c r="B975" s="97"/>
    </row>
    <row r="976" ht="15.75" customHeight="1">
      <c r="A976" s="97"/>
      <c r="B976" s="97"/>
    </row>
    <row r="977" ht="15.75" customHeight="1">
      <c r="A977" s="97"/>
      <c r="B977" s="97"/>
    </row>
    <row r="978" ht="15.75" customHeight="1">
      <c r="A978" s="97"/>
      <c r="B978" s="97"/>
    </row>
    <row r="979" ht="15.75" customHeight="1">
      <c r="A979" s="97"/>
      <c r="B979" s="97"/>
    </row>
    <row r="980" ht="15.75" customHeight="1">
      <c r="A980" s="97"/>
      <c r="B980" s="97"/>
    </row>
    <row r="981" ht="15.75" customHeight="1">
      <c r="A981" s="97"/>
      <c r="B981" s="97"/>
    </row>
    <row r="982" ht="15.75" customHeight="1">
      <c r="A982" s="97"/>
      <c r="B982" s="97"/>
    </row>
    <row r="983" ht="15.75" customHeight="1">
      <c r="A983" s="97"/>
      <c r="B983" s="97"/>
    </row>
    <row r="984" ht="15.75" customHeight="1">
      <c r="A984" s="97"/>
      <c r="B984" s="97"/>
    </row>
    <row r="985" ht="15.75" customHeight="1">
      <c r="A985" s="97"/>
      <c r="B985" s="97"/>
    </row>
    <row r="986" ht="15.75" customHeight="1">
      <c r="A986" s="97"/>
      <c r="B986" s="97"/>
    </row>
    <row r="987" ht="15.75" customHeight="1">
      <c r="A987" s="97"/>
      <c r="B987" s="97"/>
    </row>
    <row r="988" ht="15.75" customHeight="1">
      <c r="A988" s="97"/>
      <c r="B988" s="97"/>
    </row>
    <row r="989" ht="15.75" customHeight="1">
      <c r="A989" s="97"/>
      <c r="B989" s="97"/>
    </row>
    <row r="990" ht="15.75" customHeight="1">
      <c r="A990" s="97"/>
      <c r="B990" s="97"/>
    </row>
    <row r="991" ht="15.75" customHeight="1">
      <c r="A991" s="97"/>
      <c r="B991" s="97"/>
    </row>
    <row r="992" ht="15.75" customHeight="1">
      <c r="A992" s="97"/>
      <c r="B992" s="97"/>
    </row>
    <row r="993" ht="15.75" customHeight="1">
      <c r="A993" s="97"/>
      <c r="B993" s="97"/>
    </row>
    <row r="994" ht="15.75" customHeight="1">
      <c r="A994" s="97"/>
      <c r="B994" s="97"/>
    </row>
    <row r="995" ht="15.75" customHeight="1">
      <c r="A995" s="97"/>
      <c r="B995" s="97"/>
    </row>
    <row r="996" ht="15.75" customHeight="1">
      <c r="A996" s="97"/>
      <c r="B996" s="97"/>
    </row>
    <row r="997" ht="15.75" customHeight="1">
      <c r="A997" s="97"/>
      <c r="B997" s="97"/>
    </row>
    <row r="998" ht="15.75" customHeight="1">
      <c r="A998" s="97"/>
      <c r="B998" s="97"/>
    </row>
    <row r="999" ht="15.75" customHeight="1">
      <c r="A999" s="97"/>
      <c r="B999" s="97"/>
    </row>
    <row r="1000" ht="15.75" customHeight="1">
      <c r="A1000" s="97"/>
      <c r="B1000" s="97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49.13"/>
    <col customWidth="1" min="2" max="8" width="14.13"/>
    <col customWidth="1" hidden="1" min="9" max="9" width="11.25"/>
    <col customWidth="1" min="10" max="26" width="11.13"/>
  </cols>
  <sheetData>
    <row r="1" ht="18.0" hidden="1" customHeight="1">
      <c r="A1" s="81" t="s">
        <v>458</v>
      </c>
      <c r="B1" s="33" t="str">
        <f>RF!C1</f>
        <v>31/12/2024</v>
      </c>
      <c r="C1" s="33" t="str">
        <f>RF!D1</f>
        <v>31/12/2023</v>
      </c>
      <c r="D1" s="33" t="str">
        <f>RF!E1</f>
        <v>31/12/2022</v>
      </c>
      <c r="E1" s="33" t="str">
        <f>RF!F1</f>
        <v>31/12/2021</v>
      </c>
      <c r="F1" s="33" t="str">
        <f>RF!G1</f>
        <v>31/12/2020</v>
      </c>
      <c r="G1" s="33" t="str">
        <f>RF!H1</f>
        <v>31/12/2019</v>
      </c>
      <c r="H1" s="33" t="str">
        <f>RF!I1</f>
        <v>31/12/2018</v>
      </c>
      <c r="I1" s="33" t="str">
        <f>RF!J1</f>
        <v>31/12/2017</v>
      </c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5.75" hidden="1" customHeight="1">
      <c r="A2" s="97" t="s">
        <v>459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ht="15.75" hidden="1" customHeight="1">
      <c r="A3" s="97" t="s">
        <v>460</v>
      </c>
      <c r="B3" s="104">
        <f>'RC'!C131+'RC'!C140+'RC'!C144</f>
        <v>1087201</v>
      </c>
      <c r="C3" s="104">
        <f>'RC'!D131+'RC'!D140+'RC'!D144</f>
        <v>591071</v>
      </c>
      <c r="D3" s="104">
        <f>'RC'!E131+'RC'!E140+'RC'!E144</f>
        <v>710509</v>
      </c>
      <c r="E3" s="104">
        <f>'RC'!F131+'RC'!F140+'RC'!F144</f>
        <v>1204240</v>
      </c>
      <c r="F3" s="104">
        <f>'RC'!G131+'RC'!G140+'RC'!G144</f>
        <v>1192771</v>
      </c>
      <c r="G3" s="104">
        <f>'RC'!H131+'RC'!H140+'RC'!H144</f>
        <v>970828</v>
      </c>
      <c r="H3" s="104">
        <f>'RC'!I131+'RC'!I140+'RC'!I144</f>
        <v>951134</v>
      </c>
      <c r="I3" s="104">
        <f>'RC'!J131+'RC'!J140+'RC'!J144</f>
        <v>533439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ht="15.75" hidden="1" customHeight="1">
      <c r="A4" s="97" t="s">
        <v>461</v>
      </c>
      <c r="B4" s="104">
        <f>'RC'!C131</f>
        <v>1588849</v>
      </c>
      <c r="C4" s="104">
        <f>'RC'!D131</f>
        <v>1117327</v>
      </c>
      <c r="D4" s="104">
        <f>'RC'!E131</f>
        <v>963975</v>
      </c>
      <c r="E4" s="104">
        <f>'RC'!F131</f>
        <v>1411257</v>
      </c>
      <c r="F4" s="104">
        <f>'RC'!G131</f>
        <v>1351726</v>
      </c>
      <c r="G4" s="104">
        <f>'RC'!H131</f>
        <v>1069627</v>
      </c>
      <c r="H4" s="104">
        <f>'RC'!I131</f>
        <v>1052950</v>
      </c>
      <c r="I4" s="104">
        <f>'RC'!J131</f>
        <v>635847</v>
      </c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15.75" hidden="1" customHeight="1">
      <c r="A5" s="97" t="s">
        <v>462</v>
      </c>
      <c r="B5" s="104">
        <f>'RC'!C123</f>
        <v>2481804</v>
      </c>
      <c r="C5" s="104">
        <f>'RC'!D123</f>
        <v>1835259</v>
      </c>
      <c r="D5" s="104">
        <f>'RC'!E123</f>
        <v>1706003</v>
      </c>
      <c r="E5" s="104">
        <f>'RC'!F123</f>
        <v>1926582</v>
      </c>
      <c r="F5" s="104">
        <f>'RC'!G123</f>
        <v>1540277</v>
      </c>
      <c r="G5" s="104">
        <f>'RC'!H123</f>
        <v>1357618</v>
      </c>
      <c r="H5" s="104">
        <f>'RC'!I123</f>
        <v>1405132</v>
      </c>
      <c r="I5" s="104">
        <f>'RC'!J123</f>
        <v>1124651</v>
      </c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ht="15.75" hidden="1" customHeight="1">
      <c r="A6" s="97" t="s">
        <v>463</v>
      </c>
      <c r="B6" s="104">
        <f>'RC'!C150</f>
        <v>899733</v>
      </c>
      <c r="C6" s="104">
        <f>'RC'!D150</f>
        <v>566667</v>
      </c>
      <c r="D6" s="104">
        <f>'RC'!E150</f>
        <v>678581</v>
      </c>
      <c r="E6" s="104">
        <f>'RC'!F150</f>
        <v>961303</v>
      </c>
      <c r="F6" s="104">
        <f>'RC'!G150</f>
        <v>921282</v>
      </c>
      <c r="G6" s="104">
        <f>'RC'!H150</f>
        <v>751636</v>
      </c>
      <c r="H6" s="104">
        <f>'RC'!I150</f>
        <v>670425</v>
      </c>
      <c r="I6" s="104">
        <f>'RC'!J150</f>
        <v>364746</v>
      </c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5.75" hidden="1" customHeight="1">
      <c r="A7" s="97" t="s">
        <v>464</v>
      </c>
      <c r="B7" s="104">
        <f>'RC'!C111</f>
        <v>21650995</v>
      </c>
      <c r="C7" s="104">
        <f>'RC'!D111</f>
        <v>21142391</v>
      </c>
      <c r="D7" s="104">
        <f>'RC'!E111</f>
        <v>17821289</v>
      </c>
      <c r="E7" s="104">
        <f>'RC'!F111</f>
        <v>15638358</v>
      </c>
      <c r="F7" s="104">
        <f>'RC'!G111</f>
        <v>14336879</v>
      </c>
      <c r="G7" s="104">
        <f>'RC'!H111</f>
        <v>13550152</v>
      </c>
      <c r="H7" s="104">
        <f>'RC'!I111</f>
        <v>11519434</v>
      </c>
      <c r="I7" s="104">
        <f>'RC'!J111</f>
        <v>9917341</v>
      </c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ht="15.75" hidden="1" customHeight="1">
      <c r="A8" s="97" t="s">
        <v>465</v>
      </c>
      <c r="B8" s="104">
        <f>'RC'!D111</f>
        <v>21142391</v>
      </c>
      <c r="C8" s="104">
        <f>'RC'!E111</f>
        <v>17821289</v>
      </c>
      <c r="D8" s="104">
        <f>'RC'!F111</f>
        <v>15638358</v>
      </c>
      <c r="E8" s="104">
        <f>'RC'!G111</f>
        <v>14336879</v>
      </c>
      <c r="F8" s="104">
        <f>'RC'!H111</f>
        <v>13550152</v>
      </c>
      <c r="G8" s="104">
        <f>'RC'!I111</f>
        <v>11519434</v>
      </c>
      <c r="H8" s="104">
        <f>'RC'!J111</f>
        <v>9917341</v>
      </c>
      <c r="I8" s="104" t="str">
        <f>'RC'!#REF!</f>
        <v>#ERROR!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ht="15.75" hidden="1" customHeight="1">
      <c r="A9" s="97" t="s">
        <v>466</v>
      </c>
      <c r="B9" s="104">
        <f t="shared" ref="B9:I9" si="1">B7*1.22/365</f>
        <v>72367.70932</v>
      </c>
      <c r="C9" s="104">
        <f t="shared" si="1"/>
        <v>70667.71786</v>
      </c>
      <c r="D9" s="104">
        <f t="shared" si="1"/>
        <v>59567.04816</v>
      </c>
      <c r="E9" s="104">
        <f t="shared" si="1"/>
        <v>52270.67605</v>
      </c>
      <c r="F9" s="104">
        <f t="shared" si="1"/>
        <v>47920.52707</v>
      </c>
      <c r="G9" s="104">
        <f t="shared" si="1"/>
        <v>45290.91901</v>
      </c>
      <c r="H9" s="104">
        <f t="shared" si="1"/>
        <v>38503.31364</v>
      </c>
      <c r="I9" s="104">
        <f t="shared" si="1"/>
        <v>33148.37266</v>
      </c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5.75" hidden="1" customHeight="1">
      <c r="A10" s="97" t="s">
        <v>467</v>
      </c>
      <c r="B10" s="104">
        <f>'RC'!C116</f>
        <v>-17239201</v>
      </c>
      <c r="C10" s="104">
        <f>'RC'!D116</f>
        <v>-17541147</v>
      </c>
      <c r="D10" s="104">
        <f>'RC'!E116</f>
        <v>-16838729</v>
      </c>
      <c r="E10" s="104">
        <f>'RC'!F116</f>
        <v>-12600246</v>
      </c>
      <c r="F10" s="104">
        <f>'RC'!G116</f>
        <v>-11051119</v>
      </c>
      <c r="G10" s="104">
        <f>'RC'!H116</f>
        <v>-11504899</v>
      </c>
      <c r="H10" s="104">
        <f>'RC'!I116</f>
        <v>-9369872</v>
      </c>
      <c r="I10" s="104">
        <f>'RC'!J116</f>
        <v>-7915457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ht="15.75" hidden="1" customHeight="1">
      <c r="A11" s="97" t="s">
        <v>468</v>
      </c>
      <c r="B11" s="104">
        <f>'RC'!C116*1.22/365</f>
        <v>-57621.43896</v>
      </c>
      <c r="C11" s="104">
        <f>'RC'!D116*1.22/365</f>
        <v>-58630.68312</v>
      </c>
      <c r="D11" s="104">
        <f>'RC'!E116*1.22/365</f>
        <v>-56282.87501</v>
      </c>
      <c r="E11" s="104">
        <f>'RC'!F116*1.22/365</f>
        <v>-42115.89074</v>
      </c>
      <c r="F11" s="104">
        <f>'RC'!G116*1.22/365</f>
        <v>-36937.98679</v>
      </c>
      <c r="G11" s="104">
        <f>'RC'!H116*1.22/365</f>
        <v>-38454.7309</v>
      </c>
      <c r="H11" s="104">
        <f>'RC'!I116*1.22/365</f>
        <v>-31318.47627</v>
      </c>
      <c r="I11" s="104">
        <f>'RC'!J116*1.22/365</f>
        <v>-26457.14395</v>
      </c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ht="15.75" hidden="1" customHeight="1">
      <c r="A12" s="97" t="s">
        <v>469</v>
      </c>
      <c r="B12" s="104">
        <f>AVERAGE('RC'!C120:D120)/365</f>
        <v>-48523.01096</v>
      </c>
      <c r="C12" s="104">
        <f>AVERAGE('RC'!D120:E120)/365</f>
        <v>-44197.12466</v>
      </c>
      <c r="D12" s="104">
        <f>AVERAGE('RC'!E120:F120)/365</f>
        <v>-36637.51781</v>
      </c>
      <c r="E12" s="104">
        <f>AVERAGE('RC'!F120:G120)/365</f>
        <v>-32517.41781</v>
      </c>
      <c r="F12" s="104">
        <f>AVERAGE('RC'!G120:H120)/365</f>
        <v>-30714.49452</v>
      </c>
      <c r="G12" s="104">
        <f>AVERAGE('RC'!H120:I120)/365</f>
        <v>-27307.7863</v>
      </c>
      <c r="H12" s="104">
        <f>AVERAGE('RC'!I120:J120)/365</f>
        <v>-23215.59452</v>
      </c>
      <c r="I12" s="104">
        <f>AVERAGE('RC'!J120)/365</f>
        <v>-21723.61096</v>
      </c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ht="15.75" hidden="1" customHeight="1">
      <c r="A13" s="97" t="s">
        <v>470</v>
      </c>
      <c r="B13" s="104">
        <f>AVERAGE('RC'!C122:D122)/365</f>
        <v>-4184.280822</v>
      </c>
      <c r="C13" s="104">
        <f>AVERAGE('RC'!D122:E122)/365</f>
        <v>-4326.735616</v>
      </c>
      <c r="D13" s="104">
        <f>AVERAGE('RC'!E122:F122)/365</f>
        <v>-4221.471233</v>
      </c>
      <c r="E13" s="104">
        <f>AVERAGE('RC'!F122:G122)/365</f>
        <v>-3795.428767</v>
      </c>
      <c r="F13" s="104">
        <f>AVERAGE('RC'!G122:H122)/365</f>
        <v>-3517.19863</v>
      </c>
      <c r="G13" s="104">
        <f>AVERAGE('RC'!H122:I122)/365</f>
        <v>-3249.523288</v>
      </c>
      <c r="H13" s="104">
        <f>AVERAGE('RC'!I122:J122)/365</f>
        <v>-2684.394521</v>
      </c>
      <c r="I13" s="104">
        <f>AVERAGE('RC'!J122)/365</f>
        <v>-2365.950685</v>
      </c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5.75" hidden="1" customHeight="1">
      <c r="A14" s="97" t="s">
        <v>471</v>
      </c>
      <c r="B14" s="104">
        <f>AVERAGE('RC'!C93,'RC'!D93)</f>
        <v>14459613.5</v>
      </c>
      <c r="C14" s="104">
        <f>AVERAGE('RC'!D93,'RC'!E93)</f>
        <v>14819580</v>
      </c>
      <c r="D14" s="104">
        <f>AVERAGE('RC'!E93,'RC'!F93)</f>
        <v>13651821.5</v>
      </c>
      <c r="E14" s="104">
        <f>AVERAGE('RC'!F93,'RC'!G93)</f>
        <v>11530386.5</v>
      </c>
      <c r="F14" s="104">
        <f>AVERAGE('RC'!G93,'RC'!H93)</f>
        <v>8096229.5</v>
      </c>
      <c r="G14" s="104">
        <f>AVERAGE('RC'!H93,'RC'!I93)</f>
        <v>4888290.5</v>
      </c>
      <c r="H14" s="104">
        <f>AVERAGE('RC'!I93,'RC'!J93)</f>
        <v>3636602.5</v>
      </c>
      <c r="I14" s="104" t="str">
        <f>AVERAGE('RC'!I93,'RC'!#REF!)</f>
        <v>#ERROR!</v>
      </c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ht="15.75" hidden="1" customHeight="1">
      <c r="A15" s="97" t="s">
        <v>472</v>
      </c>
      <c r="B15" s="104">
        <f>'RC'!D93</f>
        <v>14957139</v>
      </c>
      <c r="C15" s="104">
        <f>'RC'!E93</f>
        <v>14682021</v>
      </c>
      <c r="D15" s="104">
        <f>'RC'!F93</f>
        <v>12621622</v>
      </c>
      <c r="E15" s="104">
        <f>'RC'!G93</f>
        <v>10439151</v>
      </c>
      <c r="F15" s="104">
        <f>'RC'!H93</f>
        <v>5753308</v>
      </c>
      <c r="G15" s="104">
        <f>'RC'!I93</f>
        <v>4023273</v>
      </c>
      <c r="H15" s="104">
        <f>'RC'!J93</f>
        <v>3249932</v>
      </c>
      <c r="I15" s="104" t="str">
        <f>'RC'!#REF!</f>
        <v>#ERROR!</v>
      </c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ht="15.75" hidden="1" customHeight="1">
      <c r="A16" s="97" t="s">
        <v>473</v>
      </c>
      <c r="B16" s="104">
        <f>'RC'!C93</f>
        <v>13962088</v>
      </c>
      <c r="C16" s="104">
        <f>'RC'!D93</f>
        <v>14957139</v>
      </c>
      <c r="D16" s="104">
        <f>'RC'!E93</f>
        <v>14682021</v>
      </c>
      <c r="E16" s="104">
        <f>'RC'!F93</f>
        <v>12621622</v>
      </c>
      <c r="F16" s="104">
        <f>'RC'!G93</f>
        <v>10439151</v>
      </c>
      <c r="G16" s="104">
        <f>'RC'!H93</f>
        <v>5753308</v>
      </c>
      <c r="H16" s="104">
        <f>'RC'!I93</f>
        <v>4023273</v>
      </c>
      <c r="I16" s="104">
        <f>'RC'!J93</f>
        <v>3249932</v>
      </c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15.75" hidden="1" customHeight="1">
      <c r="A17" s="97" t="s">
        <v>474</v>
      </c>
      <c r="B17" s="104">
        <f>'RC'!C144</f>
        <v>0</v>
      </c>
      <c r="C17" s="104">
        <f>'RC'!D144</f>
        <v>0</v>
      </c>
      <c r="D17" s="104">
        <f>'RC'!E144</f>
        <v>0</v>
      </c>
      <c r="E17" s="104">
        <f>'RC'!F144</f>
        <v>0</v>
      </c>
      <c r="F17" s="104">
        <f>'RC'!G144</f>
        <v>0</v>
      </c>
      <c r="G17" s="104">
        <f>'RC'!H144</f>
        <v>0</v>
      </c>
      <c r="H17" s="104">
        <f>'RC'!I144</f>
        <v>0</v>
      </c>
      <c r="I17" s="104">
        <f>'RC'!J144</f>
        <v>0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15.75" hidden="1" customHeight="1">
      <c r="A18" s="97" t="s">
        <v>475</v>
      </c>
      <c r="B18" s="104">
        <f>AVERAGE('RC'!C94,'RC'!D94)</f>
        <v>58702</v>
      </c>
      <c r="C18" s="104">
        <f>AVERAGE('RC'!D94,'RC'!E94)</f>
        <v>58702</v>
      </c>
      <c r="D18" s="104">
        <f>AVERAGE('RC'!E94,'RC'!F94)</f>
        <v>58702</v>
      </c>
      <c r="E18" s="104">
        <f>AVERAGE('RC'!F94,'RC'!G94)</f>
        <v>32607</v>
      </c>
      <c r="F18" s="104">
        <f>AVERAGE('RC'!G94,'RC'!H94)</f>
        <v>6512</v>
      </c>
      <c r="G18" s="104">
        <f>AVERAGE('RC'!H94,'RC'!I94)</f>
        <v>6512</v>
      </c>
      <c r="H18" s="104">
        <f>AVERAGE('RC'!I94,'RC'!J94)</f>
        <v>6512</v>
      </c>
      <c r="I18" s="104" t="str">
        <f>AVERAGE('RC'!I94,'RC'!#REF!)</f>
        <v>#ERROR!</v>
      </c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hidden="1" customHeight="1">
      <c r="A19" s="97" t="s">
        <v>476</v>
      </c>
      <c r="B19" s="104">
        <f>AVERAGE('RC'!C27,'RC'!D27)</f>
        <v>58702</v>
      </c>
      <c r="C19" s="104">
        <f>AVERAGE('RC'!D27,'RC'!E27)</f>
        <v>58702</v>
      </c>
      <c r="D19" s="104">
        <f>AVERAGE('RC'!E27,'RC'!F27)</f>
        <v>58702</v>
      </c>
      <c r="E19" s="104">
        <f>AVERAGE('RC'!F27,'RC'!G27)</f>
        <v>32607</v>
      </c>
      <c r="F19" s="104">
        <f>AVERAGE('RC'!G27,'RC'!H27)</f>
        <v>6512</v>
      </c>
      <c r="G19" s="104">
        <f>AVERAGE('RC'!H27,'RC'!I27)</f>
        <v>6512</v>
      </c>
      <c r="H19" s="104">
        <f>AVERAGE('RC'!I27,'RC'!J27)</f>
        <v>6512</v>
      </c>
      <c r="I19" s="104" t="str">
        <f>AVERAGE('RC'!I27,'RC'!#REF!)</f>
        <v>#ERROR!</v>
      </c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hidden="1" customHeight="1">
      <c r="A20" s="97" t="s">
        <v>477</v>
      </c>
      <c r="B20" s="104">
        <f>'RC'!C27</f>
        <v>58702</v>
      </c>
      <c r="C20" s="104">
        <f>'RC'!D27</f>
        <v>58702</v>
      </c>
      <c r="D20" s="104">
        <f>'RC'!E27</f>
        <v>58702</v>
      </c>
      <c r="E20" s="104">
        <f>'RC'!F27</f>
        <v>58702</v>
      </c>
      <c r="F20" s="104">
        <f>'RC'!G27</f>
        <v>6512</v>
      </c>
      <c r="G20" s="104">
        <f>'RC'!H27</f>
        <v>6512</v>
      </c>
      <c r="H20" s="104">
        <f>'RC'!I27</f>
        <v>6512</v>
      </c>
      <c r="I20" s="104">
        <f>'RC'!J27</f>
        <v>6512</v>
      </c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hidden="1" customHeight="1">
      <c r="A21" s="97" t="s">
        <v>478</v>
      </c>
      <c r="B21" s="104">
        <f>AVERAGE('RC'!C66,'RC'!D66)</f>
        <v>0</v>
      </c>
      <c r="C21" s="104">
        <f>AVERAGE('RC'!D66,'RC'!E66)</f>
        <v>0</v>
      </c>
      <c r="D21" s="104">
        <f>AVERAGE('RC'!E66,'RC'!F66)</f>
        <v>0</v>
      </c>
      <c r="E21" s="104">
        <f>AVERAGE('RC'!F66,'RC'!G66)</f>
        <v>0</v>
      </c>
      <c r="F21" s="104">
        <f>AVERAGE('RC'!G66,'RC'!H66)</f>
        <v>0</v>
      </c>
      <c r="G21" s="104">
        <f>AVERAGE('RC'!H66,'RC'!I66)</f>
        <v>0</v>
      </c>
      <c r="H21" s="104">
        <f>AVERAGE('RC'!I66,'RC'!J66)</f>
        <v>0</v>
      </c>
      <c r="I21" s="104" t="str">
        <f>AVERAGE('RC'!I66,'RC'!#REF!)</f>
        <v>#ERROR!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hidden="1" customHeight="1">
      <c r="A22" s="97" t="s">
        <v>479</v>
      </c>
      <c r="B22" s="104">
        <f>'RC'!C66</f>
        <v>0</v>
      </c>
      <c r="C22" s="104">
        <f>'RC'!D66</f>
        <v>0</v>
      </c>
      <c r="D22" s="104">
        <f>'RC'!E66</f>
        <v>0</v>
      </c>
      <c r="E22" s="104">
        <f>'RC'!F66</f>
        <v>0</v>
      </c>
      <c r="F22" s="104">
        <f>'RC'!G66</f>
        <v>0</v>
      </c>
      <c r="G22" s="104">
        <f>'RC'!H66</f>
        <v>0</v>
      </c>
      <c r="H22" s="104">
        <f>'RC'!I66</f>
        <v>0</v>
      </c>
      <c r="I22" s="104">
        <f>'RC'!J66</f>
        <v>0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5.75" hidden="1" customHeight="1">
      <c r="A23" s="97" t="s">
        <v>480</v>
      </c>
      <c r="B23" s="104">
        <f>'RC'!C145</f>
        <v>0</v>
      </c>
      <c r="C23" s="104">
        <f>'RC'!D145</f>
        <v>0</v>
      </c>
      <c r="D23" s="104">
        <f>'RC'!E145</f>
        <v>0</v>
      </c>
      <c r="E23" s="104">
        <f>'RC'!F145</f>
        <v>0</v>
      </c>
      <c r="F23" s="104">
        <f>'RC'!G145</f>
        <v>0</v>
      </c>
      <c r="G23" s="104">
        <f>'RC'!H145</f>
        <v>0</v>
      </c>
      <c r="H23" s="104">
        <f>'RC'!I145</f>
        <v>0</v>
      </c>
      <c r="I23" s="104">
        <f>'RC'!J145</f>
        <v>0</v>
      </c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15.75" hidden="1" customHeight="1">
      <c r="A24" s="97" t="s">
        <v>481</v>
      </c>
      <c r="B24" s="104">
        <f t="shared" ref="B24:I24" si="2">B30-B31</f>
        <v>9025896</v>
      </c>
      <c r="C24" s="104">
        <f t="shared" si="2"/>
        <v>9934062.5</v>
      </c>
      <c r="D24" s="104">
        <f t="shared" si="2"/>
        <v>9338928.5</v>
      </c>
      <c r="E24" s="104">
        <f t="shared" si="2"/>
        <v>7918841.5</v>
      </c>
      <c r="F24" s="104">
        <f t="shared" si="2"/>
        <v>5307382</v>
      </c>
      <c r="G24" s="104">
        <f t="shared" si="2"/>
        <v>2835903</v>
      </c>
      <c r="H24" s="104">
        <f t="shared" si="2"/>
        <v>2245245</v>
      </c>
      <c r="I24" s="104" t="str">
        <f t="shared" si="2"/>
        <v>#ERROR!</v>
      </c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15.75" hidden="1" customHeight="1">
      <c r="A25" s="97" t="s">
        <v>482</v>
      </c>
      <c r="B25" s="104">
        <f t="shared" ref="B25:I25" si="3">IF(B24&gt;0, B24, 0)</f>
        <v>9025896</v>
      </c>
      <c r="C25" s="104">
        <f t="shared" si="3"/>
        <v>9934062.5</v>
      </c>
      <c r="D25" s="104">
        <f t="shared" si="3"/>
        <v>9338928.5</v>
      </c>
      <c r="E25" s="104">
        <f t="shared" si="3"/>
        <v>7918841.5</v>
      </c>
      <c r="F25" s="104">
        <f t="shared" si="3"/>
        <v>5307382</v>
      </c>
      <c r="G25" s="104">
        <f t="shared" si="3"/>
        <v>2835903</v>
      </c>
      <c r="H25" s="104">
        <f t="shared" si="3"/>
        <v>2245245</v>
      </c>
      <c r="I25" s="104" t="str">
        <f t="shared" si="3"/>
        <v>#ERROR!</v>
      </c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5.75" hidden="1" customHeight="1">
      <c r="A26" s="97" t="s">
        <v>483</v>
      </c>
      <c r="B26" s="104">
        <f>IF(B24&lt;0, -B24, 0)</f>
        <v>0</v>
      </c>
      <c r="C26" s="104">
        <f t="shared" ref="C26:I26" si="4">IF(C24&lt;0, C24, 0)</f>
        <v>0</v>
      </c>
      <c r="D26" s="104">
        <f t="shared" si="4"/>
        <v>0</v>
      </c>
      <c r="E26" s="104">
        <f t="shared" si="4"/>
        <v>0</v>
      </c>
      <c r="F26" s="104">
        <f t="shared" si="4"/>
        <v>0</v>
      </c>
      <c r="G26" s="104">
        <f t="shared" si="4"/>
        <v>0</v>
      </c>
      <c r="H26" s="104">
        <f t="shared" si="4"/>
        <v>0</v>
      </c>
      <c r="I26" s="104" t="str">
        <f t="shared" si="4"/>
        <v>#ERROR!</v>
      </c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5.75" hidden="1" customHeight="1">
      <c r="A27" s="97" t="s">
        <v>484</v>
      </c>
      <c r="B27" s="104">
        <f>'RC'!C138</f>
        <v>-503404</v>
      </c>
      <c r="C27" s="104">
        <f>'RC'!D138</f>
        <v>-528343</v>
      </c>
      <c r="D27" s="104">
        <f>'RC'!E138</f>
        <v>-253674</v>
      </c>
      <c r="E27" s="104">
        <f>'RC'!F138</f>
        <v>-207408</v>
      </c>
      <c r="F27" s="104">
        <f>'RC'!G138</f>
        <v>-159160</v>
      </c>
      <c r="G27" s="104">
        <f>'RC'!H138</f>
        <v>-102930</v>
      </c>
      <c r="H27" s="104">
        <f>'RC'!I138</f>
        <v>-102001</v>
      </c>
      <c r="I27" s="104">
        <f>'RC'!J138</f>
        <v>-102507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15.75" hidden="1" customHeight="1">
      <c r="A28" s="97" t="s">
        <v>485</v>
      </c>
      <c r="B28" s="104">
        <f>'RC'!C137</f>
        <v>1756</v>
      </c>
      <c r="C28" s="104">
        <f>'RC'!D137</f>
        <v>2087</v>
      </c>
      <c r="D28" s="104">
        <f>'RC'!E137</f>
        <v>208</v>
      </c>
      <c r="E28" s="104">
        <f>'RC'!F137</f>
        <v>391</v>
      </c>
      <c r="F28" s="104">
        <f>'RC'!G137</f>
        <v>205</v>
      </c>
      <c r="G28" s="104">
        <f>'RC'!H137</f>
        <v>4131</v>
      </c>
      <c r="H28" s="104">
        <f>'RC'!I137</f>
        <v>185</v>
      </c>
      <c r="I28" s="104">
        <f>'RC'!J137</f>
        <v>99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ht="15.75" hidden="1" customHeight="1">
      <c r="A29" s="97" t="s">
        <v>486</v>
      </c>
      <c r="B29" s="104">
        <f>'RC'!C149</f>
        <v>-187468</v>
      </c>
      <c r="C29" s="104">
        <f>'RC'!D149</f>
        <v>-24404</v>
      </c>
      <c r="D29" s="104">
        <f>'RC'!E149</f>
        <v>-31928</v>
      </c>
      <c r="E29" s="104">
        <f>'RC'!F149</f>
        <v>-242937</v>
      </c>
      <c r="F29" s="104">
        <f>'RC'!G149</f>
        <v>-271489</v>
      </c>
      <c r="G29" s="104">
        <f>'RC'!H149</f>
        <v>-219192</v>
      </c>
      <c r="H29" s="104">
        <f>'RC'!I149</f>
        <v>-280709</v>
      </c>
      <c r="I29" s="104">
        <f>'RC'!J149</f>
        <v>-168693</v>
      </c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15.75" hidden="1" customHeight="1">
      <c r="A30" s="97" t="s">
        <v>487</v>
      </c>
      <c r="B30" s="104">
        <f>AVERAGE('RC'!C73,'RC'!D73)</f>
        <v>9592882</v>
      </c>
      <c r="C30" s="104">
        <f>AVERAGE('RC'!D73,'RC'!E73)</f>
        <v>10958599.5</v>
      </c>
      <c r="D30" s="104">
        <f>AVERAGE('RC'!E73,'RC'!F73)</f>
        <v>11052530</v>
      </c>
      <c r="E30" s="104">
        <f>AVERAGE('RC'!F73,'RC'!G73)</f>
        <v>10047992.5</v>
      </c>
      <c r="F30" s="104">
        <f>AVERAGE('RC'!G73,'RC'!H73)</f>
        <v>6603662</v>
      </c>
      <c r="G30" s="104">
        <f>AVERAGE('RC'!H73,'RC'!I73)</f>
        <v>3306406.5</v>
      </c>
      <c r="H30" s="104">
        <f>AVERAGE('RC'!I73,'RC'!J73)</f>
        <v>2770178</v>
      </c>
      <c r="I30" s="104" t="str">
        <f>AVERAGE('RC'!I73,'RC'!#REF!)</f>
        <v>#ERROR!</v>
      </c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15.75" hidden="1" customHeight="1">
      <c r="A31" s="97" t="s">
        <v>488</v>
      </c>
      <c r="B31" s="104">
        <f>AVERAGE('RC'!C33,'RC'!D33)</f>
        <v>566986</v>
      </c>
      <c r="C31" s="104">
        <f>AVERAGE('RC'!D33,'RC'!E33)</f>
        <v>1024537</v>
      </c>
      <c r="D31" s="104">
        <f>AVERAGE('RC'!E33,'RC'!F33)</f>
        <v>1713601.5</v>
      </c>
      <c r="E31" s="104">
        <f>AVERAGE('RC'!F33,'RC'!G33)</f>
        <v>2129151</v>
      </c>
      <c r="F31" s="104">
        <f>AVERAGE('RC'!G33,'RC'!H33)</f>
        <v>1296280</v>
      </c>
      <c r="G31" s="104">
        <f>AVERAGE('RC'!H33,'RC'!I33)</f>
        <v>470503.5</v>
      </c>
      <c r="H31" s="104">
        <f>AVERAGE('RC'!I33,'RC'!J33)</f>
        <v>524933</v>
      </c>
      <c r="I31" s="104" t="str">
        <f>AVERAGE('RC'!I33,'RC'!#REF!)</f>
        <v>#ERROR!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5.75" hidden="1" customHeight="1">
      <c r="A32" s="97" t="s">
        <v>489</v>
      </c>
      <c r="B32" s="104">
        <f>AVERAGE('RC'!C5:D5)</f>
        <v>4076587.5</v>
      </c>
      <c r="C32" s="104">
        <f>AVERAGE('RC'!D5:E5)</f>
        <v>3431489.5</v>
      </c>
      <c r="D32" s="104">
        <f>AVERAGE('RC'!E5:F5)</f>
        <v>3073409.5</v>
      </c>
      <c r="E32" s="104">
        <f>AVERAGE('RC'!F5:G5)</f>
        <v>2983914</v>
      </c>
      <c r="F32" s="104">
        <f>AVERAGE('RC'!G5:H5)</f>
        <v>2715056.5</v>
      </c>
      <c r="G32" s="104">
        <f>AVERAGE('RC'!H5:I5)</f>
        <v>2498211</v>
      </c>
      <c r="H32" s="104">
        <f>AVERAGE('RC'!I5:J5)</f>
        <v>2367411.5</v>
      </c>
      <c r="I32" s="104">
        <f>AVERAGE('RC'!J5)</f>
        <v>2381302</v>
      </c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5.75" hidden="1" customHeight="1">
      <c r="A33" s="97" t="s">
        <v>490</v>
      </c>
      <c r="B33" s="104">
        <f>AVERAGE('RC'!C48,'RC'!D48)</f>
        <v>2308640.5</v>
      </c>
      <c r="C33" s="104">
        <f>AVERAGE('RC'!D48,'RC'!E48)</f>
        <v>2430353.5</v>
      </c>
      <c r="D33" s="104">
        <f>AVERAGE('RC'!E48,'RC'!F48)</f>
        <v>2329921</v>
      </c>
      <c r="E33" s="104">
        <f>AVERAGE('RC'!F48,'RC'!G48)</f>
        <v>1763975.5</v>
      </c>
      <c r="F33" s="104">
        <f>AVERAGE('RC'!G48,'RC'!H48)</f>
        <v>1734486</v>
      </c>
      <c r="G33" s="104">
        <f>AVERAGE('RC'!H48,'RC'!I48)</f>
        <v>1639495</v>
      </c>
      <c r="H33" s="104">
        <f>AVERAGE('RC'!I48,'RC'!J48)</f>
        <v>1229982</v>
      </c>
      <c r="I33" s="104" t="str">
        <f>AVERAGE('RC'!I48,'RC'!#REF!)</f>
        <v>#ERROR!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hidden="1" customHeight="1">
      <c r="A34" s="97" t="s">
        <v>491</v>
      </c>
      <c r="B34" s="104">
        <f>AVERAGE('RC'!C6,'RC'!D6)</f>
        <v>4824580</v>
      </c>
      <c r="C34" s="104">
        <f>AVERAGE('RC'!D6,'RC'!E6)</f>
        <v>5145305</v>
      </c>
      <c r="D34" s="104">
        <f>AVERAGE('RC'!E6,'RC'!F6)</f>
        <v>4087317.5</v>
      </c>
      <c r="E34" s="104">
        <f>AVERAGE('RC'!F6,'RC'!G6)</f>
        <v>2740524.5</v>
      </c>
      <c r="F34" s="104">
        <f>AVERAGE('RC'!G6,'RC'!H6)</f>
        <v>2783699.5</v>
      </c>
      <c r="G34" s="104">
        <f>AVERAGE('RC'!H6,'RC'!I6)</f>
        <v>2716481</v>
      </c>
      <c r="H34" s="104">
        <f>AVERAGE('RC'!I6,'RC'!J6)</f>
        <v>2246438</v>
      </c>
      <c r="I34" s="104" t="str">
        <f>AVERAGE('RC'!I6,'RC'!#REF!)</f>
        <v>#ERROR!</v>
      </c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hidden="1" customHeight="1">
      <c r="A35" s="97" t="s">
        <v>492</v>
      </c>
      <c r="B35" s="104">
        <f>'RC'!C6</f>
        <v>4608814</v>
      </c>
      <c r="C35" s="104">
        <f>'RC'!D6</f>
        <v>5040346</v>
      </c>
      <c r="D35" s="104">
        <f>'RC'!E6</f>
        <v>5250264</v>
      </c>
      <c r="E35" s="104">
        <f>'RC'!F6</f>
        <v>2924371</v>
      </c>
      <c r="F35" s="104">
        <f>'RC'!G6</f>
        <v>2556678</v>
      </c>
      <c r="G35" s="104">
        <f>'RC'!H6</f>
        <v>3010721</v>
      </c>
      <c r="H35" s="104">
        <f>'RC'!I6</f>
        <v>2422241</v>
      </c>
      <c r="I35" s="104">
        <f>'RC'!J6</f>
        <v>2070635</v>
      </c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5.75" hidden="1" customHeight="1">
      <c r="A36" s="97" t="s">
        <v>493</v>
      </c>
      <c r="B36" s="104">
        <f>AVERAGE('RC'!C8:D8)+AVERAGE('RC'!C19:D19)+AVERAGE('RC'!C30:D30)</f>
        <v>10092731</v>
      </c>
      <c r="C36" s="104">
        <f>AVERAGE('RC'!D8:E8)+AVERAGE('RC'!D19:E19)+AVERAGE('RC'!D30:E30)</f>
        <v>10215282</v>
      </c>
      <c r="D36" s="104">
        <f>AVERAGE('RC'!E8:F8)+AVERAGE('RC'!E19:F19)+AVERAGE('RC'!E30:F30)</f>
        <v>8159909.5</v>
      </c>
      <c r="E36" s="104">
        <f>AVERAGE('RC'!F8:G8)+AVERAGE('RC'!F19:G19)+AVERAGE('RC'!F30:G30)</f>
        <v>6051218.5</v>
      </c>
      <c r="F36" s="104">
        <f>AVERAGE('RC'!G8:H8)+AVERAGE('RC'!G19:H19)+AVERAGE('RC'!G30:H30)</f>
        <v>5912189.5</v>
      </c>
      <c r="G36" s="104">
        <f>AVERAGE('RC'!H8:I8)+AVERAGE('RC'!H19:I19)+AVERAGE('RC'!H30:I30)</f>
        <v>5504005</v>
      </c>
      <c r="H36" s="104">
        <f>AVERAGE('RC'!I8:J8)+AVERAGE('RC'!I19:J19)+AVERAGE('RC'!I30:J30)</f>
        <v>4723640</v>
      </c>
      <c r="I36" s="104">
        <f>AVERAGE('RC'!J8)+AVERAGE('RC'!J19)+AVERAGE('RC'!J30)</f>
        <v>4530450</v>
      </c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5.75" hidden="1" customHeight="1">
      <c r="A37" s="97" t="s">
        <v>494</v>
      </c>
      <c r="B37" s="104">
        <f>'RC'!C8+'RC'!C19+'RC'!C30</f>
        <v>9705479</v>
      </c>
      <c r="C37" s="104">
        <f>'RC'!D8+'RC'!D19+'RC'!D30</f>
        <v>10479983</v>
      </c>
      <c r="D37" s="104">
        <f>'RC'!E8+'RC'!E19+'RC'!E30</f>
        <v>9950581</v>
      </c>
      <c r="E37" s="104">
        <f>'RC'!F8+'RC'!F19+'RC'!F30</f>
        <v>6369238</v>
      </c>
      <c r="F37" s="104">
        <f>'RC'!G8+'RC'!G19+'RC'!G30</f>
        <v>5733199</v>
      </c>
      <c r="G37" s="104">
        <f>'RC'!H8+'RC'!H19+'RC'!H30</f>
        <v>6091180</v>
      </c>
      <c r="H37" s="104">
        <f>'RC'!I8+'RC'!I19+'RC'!I30</f>
        <v>4916830</v>
      </c>
      <c r="I37" s="104">
        <f>'RC'!J8+'RC'!J19+'RC'!J30</f>
        <v>4530450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5.75" hidden="1" customHeight="1">
      <c r="A38" s="97" t="s">
        <v>495</v>
      </c>
      <c r="B38" s="104">
        <f>AVERAGE('RC'!C51:D51)+AVERAGE('RC'!C59:D59)+AVERAGE('RC'!C70:D70)</f>
        <v>8093679.5</v>
      </c>
      <c r="C38" s="104">
        <f>AVERAGE('RC'!D51:E51)+AVERAGE('RC'!D59:E59)+AVERAGE('RC'!D70:E70)</f>
        <v>8805614</v>
      </c>
      <c r="D38" s="104">
        <f>AVERAGE('RC'!E51:F51)+AVERAGE('RC'!E59:F59)+AVERAGE('RC'!E70:F70)</f>
        <v>7854147.5</v>
      </c>
      <c r="E38" s="104">
        <f>AVERAGE('RC'!F51:G51)+AVERAGE('RC'!F59:G59)+AVERAGE('RC'!F70:G70)</f>
        <v>5831649</v>
      </c>
      <c r="F38" s="104">
        <f>AVERAGE('RC'!G51:H51)+AVERAGE('RC'!G59:H59)+AVERAGE('RC'!G70:H70)</f>
        <v>5621201</v>
      </c>
      <c r="G38" s="104">
        <f>AVERAGE('RC'!H51:I51)+AVERAGE('RC'!H59:I59)+AVERAGE('RC'!H70:I70)</f>
        <v>4908556</v>
      </c>
      <c r="H38" s="104">
        <f>AVERAGE('RC'!I51:J51)+AVERAGE('RC'!I59:J59)+AVERAGE('RC'!I70:J70)</f>
        <v>3803690.5</v>
      </c>
      <c r="I38" s="104">
        <f>AVERAGE('RC'!J51)+AVERAGE('RC'!J59)+AVERAGE('RC'!J70)</f>
        <v>3922106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5.75" hidden="1" customHeight="1">
      <c r="A39" s="97" t="s">
        <v>496</v>
      </c>
      <c r="B39" s="104">
        <f>'RC'!C51+'RC'!C59+'RC'!C70</f>
        <v>7731693</v>
      </c>
      <c r="C39" s="104">
        <f>'RC'!D51+'RC'!D59+'RC'!D70</f>
        <v>8455666</v>
      </c>
      <c r="D39" s="104">
        <f>'RC'!E51+'RC'!E59+'RC'!E70</f>
        <v>9155562</v>
      </c>
      <c r="E39" s="104">
        <f>'RC'!F51+'RC'!F59+'RC'!F70</f>
        <v>6552733</v>
      </c>
      <c r="F39" s="104">
        <f>'RC'!G51+'RC'!G59+'RC'!G70</f>
        <v>5110565</v>
      </c>
      <c r="G39" s="104">
        <f>'RC'!H51+'RC'!H59+'RC'!H70</f>
        <v>6131837</v>
      </c>
      <c r="H39" s="104">
        <f>'RC'!I51+'RC'!I59+'RC'!I70</f>
        <v>3685275</v>
      </c>
      <c r="I39" s="104">
        <f>'RC'!J51+'RC'!J59+'RC'!J70</f>
        <v>3922106</v>
      </c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5.75" hidden="1" customHeight="1">
      <c r="A40" s="97" t="s">
        <v>497</v>
      </c>
      <c r="B40" s="104">
        <f>AVERAGE('RC'!C52,'RC'!D52)</f>
        <v>0</v>
      </c>
      <c r="C40" s="104">
        <f>AVERAGE('RC'!D52,'RC'!E52)</f>
        <v>0</v>
      </c>
      <c r="D40" s="104">
        <f>AVERAGE('RC'!E52,'RC'!F52)</f>
        <v>0</v>
      </c>
      <c r="E40" s="104">
        <f>AVERAGE('RC'!F52,'RC'!G52)</f>
        <v>0</v>
      </c>
      <c r="F40" s="104">
        <f>AVERAGE('RC'!G52,'RC'!H52)</f>
        <v>0</v>
      </c>
      <c r="G40" s="104">
        <f>AVERAGE('RC'!H52,'RC'!I52)</f>
        <v>0</v>
      </c>
      <c r="H40" s="104">
        <f>AVERAGE('RC'!I52,'RC'!J52)</f>
        <v>0</v>
      </c>
      <c r="I40" s="104" t="str">
        <f>AVERAGE('RC'!I52,'RC'!#REF!)</f>
        <v>#ERROR!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5.75" hidden="1" customHeight="1">
      <c r="A41" s="97" t="s">
        <v>498</v>
      </c>
      <c r="B41" s="104">
        <f>'RC'!C52</f>
        <v>0</v>
      </c>
      <c r="C41" s="104">
        <f>'RC'!D52</f>
        <v>0</v>
      </c>
      <c r="D41" s="104">
        <f>'RC'!E52</f>
        <v>0</v>
      </c>
      <c r="E41" s="104">
        <f>'RC'!F52</f>
        <v>0</v>
      </c>
      <c r="F41" s="104">
        <f>'RC'!G52</f>
        <v>0</v>
      </c>
      <c r="G41" s="104">
        <f>'RC'!H52</f>
        <v>0</v>
      </c>
      <c r="H41" s="104">
        <f>'RC'!I52</f>
        <v>0</v>
      </c>
      <c r="I41" s="104">
        <f>'RC'!J52</f>
        <v>0</v>
      </c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5.75" hidden="1" customHeight="1">
      <c r="A42" s="97" t="s">
        <v>499</v>
      </c>
      <c r="B42" s="104">
        <f>AVERAGE('RC'!C69,'RC'!D69)</f>
        <v>5901038.5</v>
      </c>
      <c r="C42" s="104">
        <f>AVERAGE('RC'!D69,'RC'!E69)</f>
        <v>6704693</v>
      </c>
      <c r="D42" s="104">
        <f>AVERAGE('RC'!E69,'RC'!F69)</f>
        <v>7044854</v>
      </c>
      <c r="E42" s="104">
        <f>AVERAGE('RC'!F69,'RC'!G69)</f>
        <v>6838124</v>
      </c>
      <c r="F42" s="104">
        <f>AVERAGE('RC'!G69,'RC'!H69)</f>
        <v>3446170</v>
      </c>
      <c r="G42" s="104">
        <f>AVERAGE('RC'!H69,'RC'!I69)</f>
        <v>698341</v>
      </c>
      <c r="H42" s="104">
        <f>AVERAGE('RC'!I69,'RC'!J69)</f>
        <v>880329.5</v>
      </c>
      <c r="I42" s="104" t="str">
        <f>AVERAGE('RC'!I69,'RC'!#REF!)</f>
        <v>#ERROR!</v>
      </c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15.75" hidden="1" customHeight="1">
      <c r="A43" s="97" t="s">
        <v>500</v>
      </c>
      <c r="B43" s="104">
        <f>'RC'!C69</f>
        <v>5110204</v>
      </c>
      <c r="C43" s="104">
        <f>'RC'!D69</f>
        <v>6691873</v>
      </c>
      <c r="D43" s="104">
        <f>'RC'!E69</f>
        <v>6717513</v>
      </c>
      <c r="E43" s="104">
        <f>'RC'!F69</f>
        <v>7372195</v>
      </c>
      <c r="F43" s="104">
        <f>'RC'!G69</f>
        <v>6304053</v>
      </c>
      <c r="G43" s="104">
        <f>'RC'!H69</f>
        <v>588287</v>
      </c>
      <c r="H43" s="104">
        <f>'RC'!I69</f>
        <v>808395</v>
      </c>
      <c r="I43" s="104">
        <f>'RC'!J69</f>
        <v>952264</v>
      </c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15.75" hidden="1" customHeight="1">
      <c r="A44" s="97" t="s">
        <v>501</v>
      </c>
      <c r="B44" s="104">
        <f>(('RC'!C12+'RC'!C15)+'RC'!D12+'RC'!D15)/2</f>
        <v>8954199</v>
      </c>
      <c r="C44" s="104">
        <f>(('RC'!D12+'RC'!D15)+'RC'!E12+'RC'!E15)/2</f>
        <v>9340197.5</v>
      </c>
      <c r="D44" s="104">
        <f>(('RC'!E12+'RC'!E15)+'RC'!F12+'RC'!F15)/2</f>
        <v>9531622.5</v>
      </c>
      <c r="E44" s="104">
        <f>(('RC'!F12+'RC'!F15)+'RC'!G12+'RC'!G15)/2</f>
        <v>8286834.5</v>
      </c>
      <c r="F44" s="104">
        <f>(('RC'!G12+'RC'!G15)+'RC'!H12+'RC'!H15)/2</f>
        <v>4838223</v>
      </c>
      <c r="G44" s="104">
        <f>(('RC'!H12+'RC'!H15)+'RC'!I12+'RC'!I15)/2</f>
        <v>1902194</v>
      </c>
      <c r="H44" s="104">
        <f>(('RC'!I12+'RC'!I15)+'RC'!J12+'RC'!J15)/2</f>
        <v>1048299</v>
      </c>
      <c r="I44" s="104" t="str">
        <f>(('RC'!I12+'RC'!I15)+'RC'!#REF!+'RC'!#REF!)/2</f>
        <v>#ERROR!</v>
      </c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hidden="1" customHeight="1">
      <c r="A45" s="97" t="s">
        <v>502</v>
      </c>
      <c r="B45" s="104">
        <f>'RC'!C12</f>
        <v>8784248</v>
      </c>
      <c r="C45" s="104">
        <f>'RC'!D12</f>
        <v>9124150</v>
      </c>
      <c r="D45" s="104">
        <f>'RC'!E12</f>
        <v>9556245</v>
      </c>
      <c r="E45" s="104">
        <f>'RC'!F12</f>
        <v>9507000</v>
      </c>
      <c r="F45" s="104">
        <f>'RC'!G12</f>
        <v>7058477</v>
      </c>
      <c r="G45" s="104">
        <f>'RC'!H12</f>
        <v>2601585</v>
      </c>
      <c r="H45" s="104">
        <f>'RC'!I12</f>
        <v>1186419</v>
      </c>
      <c r="I45" s="104">
        <f>'RC'!J12</f>
        <v>893795</v>
      </c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hidden="1" customHeight="1">
      <c r="A46" s="97" t="s">
        <v>503</v>
      </c>
      <c r="B46" s="104">
        <f>AVERAGE('RC'!C84,'RC'!D84)</f>
        <v>5492419.5</v>
      </c>
      <c r="C46" s="104">
        <f>AVERAGE('RC'!D84,'RC'!E84)</f>
        <v>4944219.5</v>
      </c>
      <c r="D46" s="104">
        <f>AVERAGE('RC'!E84,'RC'!F84)</f>
        <v>4371595</v>
      </c>
      <c r="E46" s="104">
        <f>AVERAGE('RC'!F84,'RC'!G84)</f>
        <v>3644152</v>
      </c>
      <c r="F46" s="104">
        <f>AVERAGE('RC'!G84,'RC'!H84)</f>
        <v>2795359.5</v>
      </c>
      <c r="G46" s="104">
        <f>AVERAGE('RC'!H84,'RC'!I84)</f>
        <v>2058899.5</v>
      </c>
      <c r="H46" s="104">
        <f>AVERAGE('RC'!I84,'RC'!J84)</f>
        <v>1397869.5</v>
      </c>
      <c r="I46" s="104" t="str">
        <f>AVERAGE('RC'!I84,'RC'!#REF!)</f>
        <v>#ERROR!</v>
      </c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hidden="1" customHeight="1">
      <c r="A47" s="97" t="s">
        <v>504</v>
      </c>
      <c r="B47" s="104">
        <f>'RC'!D84</f>
        <v>5227552</v>
      </c>
      <c r="C47" s="104">
        <f>'RC'!E84</f>
        <v>4660887</v>
      </c>
      <c r="D47" s="104">
        <f>'RC'!F84</f>
        <v>4082303</v>
      </c>
      <c r="E47" s="104">
        <f>'RC'!G84</f>
        <v>3206001</v>
      </c>
      <c r="F47" s="104">
        <f>'RC'!H84</f>
        <v>2384718</v>
      </c>
      <c r="G47" s="104">
        <f>'RC'!I84</f>
        <v>1733081</v>
      </c>
      <c r="H47" s="104">
        <f>'RC'!J84</f>
        <v>1062658</v>
      </c>
      <c r="I47" s="104" t="str">
        <f>'RC'!#REF!</f>
        <v>#ERROR!</v>
      </c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5.75" hidden="1" customHeight="1">
      <c r="A48" s="97" t="s">
        <v>505</v>
      </c>
      <c r="B48" s="104">
        <f>'RC'!C84</f>
        <v>5757287</v>
      </c>
      <c r="C48" s="104">
        <f>'RC'!D84</f>
        <v>5227552</v>
      </c>
      <c r="D48" s="104">
        <f>'RC'!E84</f>
        <v>4660887</v>
      </c>
      <c r="E48" s="104">
        <f>'RC'!F84</f>
        <v>4082303</v>
      </c>
      <c r="F48" s="104">
        <f>'RC'!G84</f>
        <v>3206001</v>
      </c>
      <c r="G48" s="104">
        <f>'RC'!H84</f>
        <v>2384718</v>
      </c>
      <c r="H48" s="104">
        <f>'RC'!I84</f>
        <v>1733081</v>
      </c>
      <c r="I48" s="104">
        <f>'RC'!J84</f>
        <v>1062658</v>
      </c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5.75" hidden="1" customHeight="1">
      <c r="A49" s="97" t="s">
        <v>506</v>
      </c>
      <c r="B49" s="104">
        <f>'RC'!D82+'RC'!D79-'RC'!C79</f>
        <v>369998</v>
      </c>
      <c r="C49" s="104">
        <f>'RC'!E82+'RC'!E79-'RC'!D79</f>
        <v>2</v>
      </c>
      <c r="D49" s="104">
        <f>'RC'!F82+'RC'!F79-'RC'!E79</f>
        <v>99997</v>
      </c>
      <c r="E49" s="104">
        <f>'RC'!G82+'RC'!G79-'RC'!F79</f>
        <v>85001</v>
      </c>
      <c r="F49" s="104">
        <f>'RC'!H82+'RC'!H79-'RC'!G79</f>
        <v>99999</v>
      </c>
      <c r="G49" s="104">
        <f>'RC'!I82+'RC'!I79-'RC'!H79</f>
        <v>99999</v>
      </c>
      <c r="H49" s="104">
        <f>'RC'!J82+'RC'!J79-'RC'!I79</f>
        <v>2</v>
      </c>
      <c r="I49" s="104" t="str">
        <f>'RC'!#REF!+'RC'!#REF!-'RC'!I79</f>
        <v>#ERROR!</v>
      </c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5.75" hidden="1" customHeight="1">
      <c r="A50" s="97" t="s">
        <v>507</v>
      </c>
      <c r="B50" s="104">
        <f>'RC'!C76-'RC'!D76</f>
        <v>0</v>
      </c>
      <c r="C50" s="104">
        <f>'RC'!D76-'RC'!E76</f>
        <v>0</v>
      </c>
      <c r="D50" s="104">
        <f>'RC'!E76-'RC'!F76</f>
        <v>0</v>
      </c>
      <c r="E50" s="104">
        <f>'RC'!F76-'RC'!G76</f>
        <v>0</v>
      </c>
      <c r="F50" s="104">
        <f>'RC'!G76-'RC'!H76</f>
        <v>0</v>
      </c>
      <c r="G50" s="104">
        <f>'RC'!H76-'RC'!I76</f>
        <v>0</v>
      </c>
      <c r="H50" s="104">
        <f>'RC'!I76-'RC'!J76</f>
        <v>0</v>
      </c>
      <c r="I50" s="104" t="str">
        <f>'RC'!I76-'RC'!#REF!</f>
        <v>#ERROR!</v>
      </c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5.75" hidden="1" customHeight="1">
      <c r="A51" s="97" t="s">
        <v>508</v>
      </c>
      <c r="B51" s="104">
        <f>RF!C43-RF!D43</f>
        <v>196669</v>
      </c>
      <c r="C51" s="104">
        <f>RF!D43-RF!E43</f>
        <v>678579</v>
      </c>
      <c r="D51" s="104">
        <f>RF!E43-RF!F43</f>
        <v>861306</v>
      </c>
      <c r="E51" s="104">
        <f>RF!F43-RF!G43</f>
        <v>836281</v>
      </c>
      <c r="F51" s="104">
        <f>RF!G43-RF!H43</f>
        <v>651637</v>
      </c>
      <c r="G51" s="104">
        <f>RF!H43-RF!I43</f>
        <v>570426</v>
      </c>
      <c r="H51" s="104">
        <f>RF!I43-RF!J43</f>
        <v>364744</v>
      </c>
      <c r="I51" s="104" t="str">
        <f>RF!J43-RF!#REF!</f>
        <v>#ERROR!</v>
      </c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5.75" hidden="1" customHeight="1">
      <c r="A52" s="97" t="s">
        <v>509</v>
      </c>
      <c r="B52" s="104">
        <f>'RC'!C82-'RC'!D82</f>
        <v>333066</v>
      </c>
      <c r="C52" s="104">
        <f>'RC'!D82-'RC'!E82</f>
        <v>-111914</v>
      </c>
      <c r="D52" s="104">
        <f>'RC'!E82-'RC'!F82</f>
        <v>-282722</v>
      </c>
      <c r="E52" s="104">
        <f>'RC'!F82-'RC'!G82</f>
        <v>40021</v>
      </c>
      <c r="F52" s="104">
        <f>'RC'!G82-'RC'!H82</f>
        <v>169646</v>
      </c>
      <c r="G52" s="104">
        <f>'RC'!H82-'RC'!I82</f>
        <v>81211</v>
      </c>
      <c r="H52" s="104">
        <f>'RC'!I82-'RC'!J82</f>
        <v>305679</v>
      </c>
      <c r="I52" s="104" t="str">
        <f>'RC'!I82-'RC'!#REF!</f>
        <v>#ERROR!</v>
      </c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5.75" hidden="1" customHeight="1">
      <c r="A53" s="97" t="s">
        <v>510</v>
      </c>
      <c r="B53" s="104">
        <f>'RC'!C77-'RC'!D77</f>
        <v>529735</v>
      </c>
      <c r="C53" s="104">
        <f>'RC'!D77-'RC'!E77</f>
        <v>566665</v>
      </c>
      <c r="D53" s="104">
        <f>'RC'!E77-'RC'!F77</f>
        <v>578584</v>
      </c>
      <c r="E53" s="104">
        <f>'RC'!F77-'RC'!G77</f>
        <v>876302</v>
      </c>
      <c r="F53" s="104">
        <f>'RC'!G77-'RC'!H77</f>
        <v>821283</v>
      </c>
      <c r="G53" s="104">
        <f>'RC'!H77-'RC'!I77</f>
        <v>651637</v>
      </c>
      <c r="H53" s="104">
        <f>'RC'!I77-'RC'!J77</f>
        <v>670423</v>
      </c>
      <c r="I53" s="104" t="str">
        <f>'RC'!I77-'RC'!#REF!</f>
        <v>#ERROR!</v>
      </c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5.75" hidden="1" customHeight="1">
      <c r="A54" s="97"/>
      <c r="B54" s="75"/>
      <c r="C54" s="75"/>
      <c r="D54" s="75"/>
      <c r="E54" s="75"/>
      <c r="F54" s="75"/>
      <c r="G54" s="75"/>
      <c r="H54" s="75"/>
      <c r="I54" s="75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2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8.0" customHeight="1">
      <c r="A56" s="103" t="s">
        <v>458</v>
      </c>
      <c r="B56" s="103" t="str">
        <f t="shared" ref="B56:I56" si="5">B1</f>
        <v>31/12/2024</v>
      </c>
      <c r="C56" s="103" t="str">
        <f t="shared" si="5"/>
        <v>31/12/2023</v>
      </c>
      <c r="D56" s="103" t="str">
        <f t="shared" si="5"/>
        <v>31/12/2022</v>
      </c>
      <c r="E56" s="103" t="str">
        <f t="shared" si="5"/>
        <v>31/12/2021</v>
      </c>
      <c r="F56" s="103" t="str">
        <f t="shared" si="5"/>
        <v>31/12/2020</v>
      </c>
      <c r="G56" s="103" t="str">
        <f t="shared" si="5"/>
        <v>31/12/2019</v>
      </c>
      <c r="H56" s="103" t="str">
        <f t="shared" si="5"/>
        <v>31/12/2018</v>
      </c>
      <c r="I56" s="103" t="str">
        <f t="shared" si="5"/>
        <v>31/12/2017</v>
      </c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5.75" customHeight="1">
      <c r="A57" s="105" t="s">
        <v>511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97" t="s">
        <v>461</v>
      </c>
      <c r="B58" s="106">
        <f t="shared" ref="B58:I58" si="6">B4</f>
        <v>1588849</v>
      </c>
      <c r="C58" s="106">
        <f t="shared" si="6"/>
        <v>1117327</v>
      </c>
      <c r="D58" s="106">
        <f t="shared" si="6"/>
        <v>963975</v>
      </c>
      <c r="E58" s="106">
        <f t="shared" si="6"/>
        <v>1411257</v>
      </c>
      <c r="F58" s="106">
        <f t="shared" si="6"/>
        <v>1351726</v>
      </c>
      <c r="G58" s="106">
        <f t="shared" si="6"/>
        <v>1069627</v>
      </c>
      <c r="H58" s="106">
        <f t="shared" si="6"/>
        <v>1052950</v>
      </c>
      <c r="I58" s="106">
        <f t="shared" si="6"/>
        <v>635847</v>
      </c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5.75" customHeight="1">
      <c r="A59" s="97" t="s">
        <v>512</v>
      </c>
      <c r="B59" s="106">
        <f t="shared" ref="B59:I59" si="7">B7</f>
        <v>21650995</v>
      </c>
      <c r="C59" s="106">
        <f t="shared" si="7"/>
        <v>21142391</v>
      </c>
      <c r="D59" s="106">
        <f t="shared" si="7"/>
        <v>17821289</v>
      </c>
      <c r="E59" s="106">
        <f t="shared" si="7"/>
        <v>15638358</v>
      </c>
      <c r="F59" s="106">
        <f t="shared" si="7"/>
        <v>14336879</v>
      </c>
      <c r="G59" s="106">
        <f t="shared" si="7"/>
        <v>13550152</v>
      </c>
      <c r="H59" s="106">
        <f t="shared" si="7"/>
        <v>11519434</v>
      </c>
      <c r="I59" s="106">
        <f t="shared" si="7"/>
        <v>9917341</v>
      </c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5.75" customHeight="1">
      <c r="A60" s="81" t="s">
        <v>513</v>
      </c>
      <c r="B60" s="107">
        <f t="shared" ref="B60:I60" si="8">B58/B59</f>
        <v>0.07338457193</v>
      </c>
      <c r="C60" s="107">
        <f t="shared" si="8"/>
        <v>0.05284771245</v>
      </c>
      <c r="D60" s="107">
        <f t="shared" si="8"/>
        <v>0.05409120519</v>
      </c>
      <c r="E60" s="107">
        <f t="shared" si="8"/>
        <v>0.09024329792</v>
      </c>
      <c r="F60" s="107">
        <f t="shared" si="8"/>
        <v>0.0942831421</v>
      </c>
      <c r="G60" s="107">
        <f t="shared" si="8"/>
        <v>0.07893837648</v>
      </c>
      <c r="H60" s="107">
        <f t="shared" si="8"/>
        <v>0.0914064007</v>
      </c>
      <c r="I60" s="107">
        <f t="shared" si="8"/>
        <v>0.06411466541</v>
      </c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97"/>
      <c r="B61" s="106"/>
      <c r="C61" s="106"/>
      <c r="D61" s="106"/>
      <c r="E61" s="106"/>
      <c r="F61" s="106"/>
      <c r="G61" s="106"/>
      <c r="H61" s="106"/>
      <c r="I61" s="106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5.75" customHeight="1">
      <c r="A62" s="97" t="s">
        <v>461</v>
      </c>
      <c r="B62" s="106">
        <f t="shared" ref="B62:I62" si="9">B4</f>
        <v>1588849</v>
      </c>
      <c r="C62" s="106">
        <f t="shared" si="9"/>
        <v>1117327</v>
      </c>
      <c r="D62" s="106">
        <f t="shared" si="9"/>
        <v>963975</v>
      </c>
      <c r="E62" s="106">
        <f t="shared" si="9"/>
        <v>1411257</v>
      </c>
      <c r="F62" s="106">
        <f t="shared" si="9"/>
        <v>1351726</v>
      </c>
      <c r="G62" s="106">
        <f t="shared" si="9"/>
        <v>1069627</v>
      </c>
      <c r="H62" s="106">
        <f t="shared" si="9"/>
        <v>1052950</v>
      </c>
      <c r="I62" s="106">
        <f t="shared" si="9"/>
        <v>635847</v>
      </c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5.75" customHeight="1">
      <c r="A63" s="97" t="s">
        <v>514</v>
      </c>
      <c r="B63" s="106">
        <f t="shared" ref="B63:I63" si="10">B14</f>
        <v>14459613.5</v>
      </c>
      <c r="C63" s="106">
        <f t="shared" si="10"/>
        <v>14819580</v>
      </c>
      <c r="D63" s="106">
        <f t="shared" si="10"/>
        <v>13651821.5</v>
      </c>
      <c r="E63" s="106">
        <f t="shared" si="10"/>
        <v>11530386.5</v>
      </c>
      <c r="F63" s="106">
        <f t="shared" si="10"/>
        <v>8096229.5</v>
      </c>
      <c r="G63" s="106">
        <f t="shared" si="10"/>
        <v>4888290.5</v>
      </c>
      <c r="H63" s="106">
        <f t="shared" si="10"/>
        <v>3636602.5</v>
      </c>
      <c r="I63" s="106" t="str">
        <f t="shared" si="10"/>
        <v>#ERROR!</v>
      </c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5.75" customHeight="1">
      <c r="A64" s="81" t="s">
        <v>515</v>
      </c>
      <c r="B64" s="107">
        <f t="shared" ref="B64:I64" si="11">B62/B63</f>
        <v>0.1098818444</v>
      </c>
      <c r="C64" s="107">
        <f t="shared" si="11"/>
        <v>0.07539532159</v>
      </c>
      <c r="D64" s="107">
        <f t="shared" si="11"/>
        <v>0.0706114565</v>
      </c>
      <c r="E64" s="107">
        <f t="shared" si="11"/>
        <v>0.1223945962</v>
      </c>
      <c r="F64" s="107">
        <f t="shared" si="11"/>
        <v>0.1669574708</v>
      </c>
      <c r="G64" s="107">
        <f t="shared" si="11"/>
        <v>0.2188141233</v>
      </c>
      <c r="H64" s="107">
        <f t="shared" si="11"/>
        <v>0.2895422307</v>
      </c>
      <c r="I64" s="107" t="str">
        <f t="shared" si="11"/>
        <v>#ERROR!</v>
      </c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97"/>
      <c r="B65" s="106"/>
      <c r="C65" s="106"/>
      <c r="D65" s="106"/>
      <c r="E65" s="106"/>
      <c r="F65" s="106"/>
      <c r="G65" s="106"/>
      <c r="H65" s="106"/>
      <c r="I65" s="106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5.75" customHeight="1">
      <c r="A66" s="97" t="s">
        <v>516</v>
      </c>
      <c r="B66" s="106">
        <f t="shared" ref="B66:I66" si="12">-B27</f>
        <v>503404</v>
      </c>
      <c r="C66" s="106">
        <f t="shared" si="12"/>
        <v>528343</v>
      </c>
      <c r="D66" s="106">
        <f t="shared" si="12"/>
        <v>253674</v>
      </c>
      <c r="E66" s="106">
        <f t="shared" si="12"/>
        <v>207408</v>
      </c>
      <c r="F66" s="106">
        <f t="shared" si="12"/>
        <v>159160</v>
      </c>
      <c r="G66" s="106">
        <f t="shared" si="12"/>
        <v>102930</v>
      </c>
      <c r="H66" s="106">
        <f t="shared" si="12"/>
        <v>102001</v>
      </c>
      <c r="I66" s="106">
        <f t="shared" si="12"/>
        <v>102507</v>
      </c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5.75" customHeight="1">
      <c r="A67" s="97" t="s">
        <v>517</v>
      </c>
      <c r="B67" s="106">
        <f t="shared" ref="B67:I67" si="13">B30</f>
        <v>9592882</v>
      </c>
      <c r="C67" s="106">
        <f t="shared" si="13"/>
        <v>10958599.5</v>
      </c>
      <c r="D67" s="106">
        <f t="shared" si="13"/>
        <v>11052530</v>
      </c>
      <c r="E67" s="106">
        <f t="shared" si="13"/>
        <v>10047992.5</v>
      </c>
      <c r="F67" s="106">
        <f t="shared" si="13"/>
        <v>6603662</v>
      </c>
      <c r="G67" s="106">
        <f t="shared" si="13"/>
        <v>3306406.5</v>
      </c>
      <c r="H67" s="106">
        <f t="shared" si="13"/>
        <v>2770178</v>
      </c>
      <c r="I67" s="106" t="str">
        <f t="shared" si="13"/>
        <v>#ERROR!</v>
      </c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5.75" customHeight="1">
      <c r="A68" s="81" t="s">
        <v>518</v>
      </c>
      <c r="B68" s="107">
        <f t="shared" ref="B68:I68" si="14">B66/B67</f>
        <v>0.05247682605</v>
      </c>
      <c r="C68" s="107">
        <f t="shared" si="14"/>
        <v>0.04821263885</v>
      </c>
      <c r="D68" s="107">
        <f t="shared" si="14"/>
        <v>0.02295166808</v>
      </c>
      <c r="E68" s="107">
        <f t="shared" si="14"/>
        <v>0.02064173515</v>
      </c>
      <c r="F68" s="107">
        <f t="shared" si="14"/>
        <v>0.02410177868</v>
      </c>
      <c r="G68" s="107">
        <f t="shared" si="14"/>
        <v>0.03113047352</v>
      </c>
      <c r="H68" s="107">
        <f t="shared" si="14"/>
        <v>0.03682109958</v>
      </c>
      <c r="I68" s="107" t="str">
        <f t="shared" si="14"/>
        <v>#ERROR!</v>
      </c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97"/>
      <c r="B69" s="106"/>
      <c r="C69" s="106"/>
      <c r="D69" s="106"/>
      <c r="E69" s="106"/>
      <c r="F69" s="106"/>
      <c r="G69" s="106"/>
      <c r="H69" s="106"/>
      <c r="I69" s="106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5.75" customHeight="1">
      <c r="A70" s="97" t="s">
        <v>519</v>
      </c>
      <c r="B70" s="106">
        <f t="shared" ref="B70:I70" si="15">B28</f>
        <v>1756</v>
      </c>
      <c r="C70" s="106">
        <f t="shared" si="15"/>
        <v>2087</v>
      </c>
      <c r="D70" s="106">
        <f t="shared" si="15"/>
        <v>208</v>
      </c>
      <c r="E70" s="106">
        <f t="shared" si="15"/>
        <v>391</v>
      </c>
      <c r="F70" s="106">
        <f t="shared" si="15"/>
        <v>205</v>
      </c>
      <c r="G70" s="106">
        <f t="shared" si="15"/>
        <v>4131</v>
      </c>
      <c r="H70" s="106">
        <f t="shared" si="15"/>
        <v>185</v>
      </c>
      <c r="I70" s="106">
        <f t="shared" si="15"/>
        <v>99</v>
      </c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5.75" customHeight="1">
      <c r="A71" s="97" t="s">
        <v>520</v>
      </c>
      <c r="B71" s="106">
        <f t="shared" ref="B71:I71" si="16">B31</f>
        <v>566986</v>
      </c>
      <c r="C71" s="106">
        <f t="shared" si="16"/>
        <v>1024537</v>
      </c>
      <c r="D71" s="106">
        <f t="shared" si="16"/>
        <v>1713601.5</v>
      </c>
      <c r="E71" s="106">
        <f t="shared" si="16"/>
        <v>2129151</v>
      </c>
      <c r="F71" s="106">
        <f t="shared" si="16"/>
        <v>1296280</v>
      </c>
      <c r="G71" s="106">
        <f t="shared" si="16"/>
        <v>470503.5</v>
      </c>
      <c r="H71" s="106">
        <f t="shared" si="16"/>
        <v>524933</v>
      </c>
      <c r="I71" s="106" t="str">
        <f t="shared" si="16"/>
        <v>#ERROR!</v>
      </c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5.75" customHeight="1">
      <c r="A72" s="81" t="s">
        <v>521</v>
      </c>
      <c r="B72" s="107">
        <f t="shared" ref="B72:I72" si="17">B70/B71</f>
        <v>0.003097078235</v>
      </c>
      <c r="C72" s="107">
        <f t="shared" si="17"/>
        <v>0.002037017697</v>
      </c>
      <c r="D72" s="107">
        <f t="shared" si="17"/>
        <v>0.0001213817798</v>
      </c>
      <c r="E72" s="107">
        <f t="shared" si="17"/>
        <v>0.000183641273</v>
      </c>
      <c r="F72" s="107">
        <f t="shared" si="17"/>
        <v>0.0001581448452</v>
      </c>
      <c r="G72" s="107">
        <f t="shared" si="17"/>
        <v>0.008779955941</v>
      </c>
      <c r="H72" s="107">
        <f t="shared" si="17"/>
        <v>0.0003524259286</v>
      </c>
      <c r="I72" s="107" t="str">
        <f t="shared" si="17"/>
        <v>#ERROR!</v>
      </c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97"/>
      <c r="B73" s="106"/>
      <c r="C73" s="106"/>
      <c r="D73" s="106"/>
      <c r="E73" s="106"/>
      <c r="F73" s="106"/>
      <c r="G73" s="106"/>
      <c r="H73" s="106"/>
      <c r="I73" s="106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5.75" customHeight="1">
      <c r="A74" s="97" t="s">
        <v>522</v>
      </c>
      <c r="B74" s="106">
        <f t="shared" ref="B74:I74" si="18">B17</f>
        <v>0</v>
      </c>
      <c r="C74" s="106">
        <f t="shared" si="18"/>
        <v>0</v>
      </c>
      <c r="D74" s="106">
        <f t="shared" si="18"/>
        <v>0</v>
      </c>
      <c r="E74" s="106">
        <f t="shared" si="18"/>
        <v>0</v>
      </c>
      <c r="F74" s="106">
        <f t="shared" si="18"/>
        <v>0</v>
      </c>
      <c r="G74" s="106">
        <f t="shared" si="18"/>
        <v>0</v>
      </c>
      <c r="H74" s="106">
        <f t="shared" si="18"/>
        <v>0</v>
      </c>
      <c r="I74" s="106">
        <f t="shared" si="18"/>
        <v>0</v>
      </c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75" customHeight="1">
      <c r="A75" s="97" t="s">
        <v>523</v>
      </c>
      <c r="B75" s="106">
        <f t="shared" ref="B75:I75" si="19">B18</f>
        <v>58702</v>
      </c>
      <c r="C75" s="106">
        <f t="shared" si="19"/>
        <v>58702</v>
      </c>
      <c r="D75" s="106">
        <f t="shared" si="19"/>
        <v>58702</v>
      </c>
      <c r="E75" s="106">
        <f t="shared" si="19"/>
        <v>32607</v>
      </c>
      <c r="F75" s="106">
        <f t="shared" si="19"/>
        <v>6512</v>
      </c>
      <c r="G75" s="106">
        <f t="shared" si="19"/>
        <v>6512</v>
      </c>
      <c r="H75" s="106">
        <f t="shared" si="19"/>
        <v>6512</v>
      </c>
      <c r="I75" s="106" t="str">
        <f t="shared" si="19"/>
        <v>#ERROR!</v>
      </c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5.75" customHeight="1">
      <c r="A76" s="81" t="s">
        <v>524</v>
      </c>
      <c r="B76" s="107">
        <f t="shared" ref="B76:I76" si="20">B74/B75</f>
        <v>0</v>
      </c>
      <c r="C76" s="107">
        <f t="shared" si="20"/>
        <v>0</v>
      </c>
      <c r="D76" s="107">
        <f t="shared" si="20"/>
        <v>0</v>
      </c>
      <c r="E76" s="107">
        <f t="shared" si="20"/>
        <v>0</v>
      </c>
      <c r="F76" s="107">
        <f t="shared" si="20"/>
        <v>0</v>
      </c>
      <c r="G76" s="107">
        <f t="shared" si="20"/>
        <v>0</v>
      </c>
      <c r="H76" s="107">
        <f t="shared" si="20"/>
        <v>0</v>
      </c>
      <c r="I76" s="107" t="str">
        <f t="shared" si="20"/>
        <v>#ERROR!</v>
      </c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97"/>
      <c r="B77" s="106"/>
      <c r="C77" s="106"/>
      <c r="D77" s="106"/>
      <c r="E77" s="106"/>
      <c r="F77" s="106"/>
      <c r="G77" s="106"/>
      <c r="H77" s="106"/>
      <c r="I77" s="106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5.75" customHeight="1">
      <c r="A78" s="97" t="s">
        <v>463</v>
      </c>
      <c r="B78" s="106">
        <f t="shared" ref="B78:I78" si="21">B6</f>
        <v>899733</v>
      </c>
      <c r="C78" s="106">
        <f t="shared" si="21"/>
        <v>566667</v>
      </c>
      <c r="D78" s="106">
        <f t="shared" si="21"/>
        <v>678581</v>
      </c>
      <c r="E78" s="106">
        <f t="shared" si="21"/>
        <v>961303</v>
      </c>
      <c r="F78" s="106">
        <f t="shared" si="21"/>
        <v>921282</v>
      </c>
      <c r="G78" s="106">
        <f t="shared" si="21"/>
        <v>751636</v>
      </c>
      <c r="H78" s="106">
        <f t="shared" si="21"/>
        <v>670425</v>
      </c>
      <c r="I78" s="106">
        <f t="shared" si="21"/>
        <v>364746</v>
      </c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5.75" customHeight="1">
      <c r="A79" s="97" t="s">
        <v>525</v>
      </c>
      <c r="B79" s="106">
        <f t="shared" ref="B79:I79" si="22">B46</f>
        <v>5492419.5</v>
      </c>
      <c r="C79" s="106">
        <f t="shared" si="22"/>
        <v>4944219.5</v>
      </c>
      <c r="D79" s="106">
        <f t="shared" si="22"/>
        <v>4371595</v>
      </c>
      <c r="E79" s="106">
        <f t="shared" si="22"/>
        <v>3644152</v>
      </c>
      <c r="F79" s="106">
        <f t="shared" si="22"/>
        <v>2795359.5</v>
      </c>
      <c r="G79" s="106">
        <f t="shared" si="22"/>
        <v>2058899.5</v>
      </c>
      <c r="H79" s="106">
        <f t="shared" si="22"/>
        <v>1397869.5</v>
      </c>
      <c r="I79" s="106" t="str">
        <f t="shared" si="22"/>
        <v>#ERROR!</v>
      </c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5.75" customHeight="1">
      <c r="A80" s="81" t="s">
        <v>526</v>
      </c>
      <c r="B80" s="107">
        <f t="shared" ref="B80:I80" si="23">B78/B79</f>
        <v>0.163813598</v>
      </c>
      <c r="C80" s="107">
        <f t="shared" si="23"/>
        <v>0.1146120232</v>
      </c>
      <c r="D80" s="107">
        <f t="shared" si="23"/>
        <v>0.155225038</v>
      </c>
      <c r="E80" s="107">
        <f t="shared" si="23"/>
        <v>0.2637933324</v>
      </c>
      <c r="F80" s="107">
        <f t="shared" si="23"/>
        <v>0.3295754982</v>
      </c>
      <c r="G80" s="107">
        <f t="shared" si="23"/>
        <v>0.3650668719</v>
      </c>
      <c r="H80" s="107">
        <f t="shared" si="23"/>
        <v>0.4796048558</v>
      </c>
      <c r="I80" s="107" t="str">
        <f t="shared" si="23"/>
        <v>#ERROR!</v>
      </c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97"/>
      <c r="B81" s="106"/>
      <c r="C81" s="106"/>
      <c r="D81" s="106"/>
      <c r="E81" s="106"/>
      <c r="F81" s="106"/>
      <c r="G81" s="106"/>
      <c r="H81" s="106"/>
      <c r="I81" s="106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97" t="s">
        <v>527</v>
      </c>
      <c r="B82" s="106">
        <f t="shared" ref="B82:I82" si="24">B3</f>
        <v>1087201</v>
      </c>
      <c r="C82" s="106">
        <f t="shared" si="24"/>
        <v>591071</v>
      </c>
      <c r="D82" s="106">
        <f t="shared" si="24"/>
        <v>710509</v>
      </c>
      <c r="E82" s="106">
        <f t="shared" si="24"/>
        <v>1204240</v>
      </c>
      <c r="F82" s="106">
        <f t="shared" si="24"/>
        <v>1192771</v>
      </c>
      <c r="G82" s="106">
        <f t="shared" si="24"/>
        <v>970828</v>
      </c>
      <c r="H82" s="106">
        <f t="shared" si="24"/>
        <v>951134</v>
      </c>
      <c r="I82" s="106">
        <f t="shared" si="24"/>
        <v>533439</v>
      </c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5.75" customHeight="1">
      <c r="A83" s="97" t="s">
        <v>525</v>
      </c>
      <c r="B83" s="106">
        <f t="shared" ref="B83:I83" si="25">B46</f>
        <v>5492419.5</v>
      </c>
      <c r="C83" s="106">
        <f t="shared" si="25"/>
        <v>4944219.5</v>
      </c>
      <c r="D83" s="106">
        <f t="shared" si="25"/>
        <v>4371595</v>
      </c>
      <c r="E83" s="106">
        <f t="shared" si="25"/>
        <v>3644152</v>
      </c>
      <c r="F83" s="106">
        <f t="shared" si="25"/>
        <v>2795359.5</v>
      </c>
      <c r="G83" s="106">
        <f t="shared" si="25"/>
        <v>2058899.5</v>
      </c>
      <c r="H83" s="106">
        <f t="shared" si="25"/>
        <v>1397869.5</v>
      </c>
      <c r="I83" s="106" t="str">
        <f t="shared" si="25"/>
        <v>#ERROR!</v>
      </c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5.75" customHeight="1">
      <c r="A84" s="81" t="s">
        <v>528</v>
      </c>
      <c r="B84" s="107">
        <f t="shared" ref="B84:I84" si="26">B82/B83</f>
        <v>0.1979457323</v>
      </c>
      <c r="C84" s="107">
        <f t="shared" si="26"/>
        <v>0.1195478882</v>
      </c>
      <c r="D84" s="107">
        <f t="shared" si="26"/>
        <v>0.1625285508</v>
      </c>
      <c r="E84" s="107">
        <f t="shared" si="26"/>
        <v>0.3304582246</v>
      </c>
      <c r="F84" s="107">
        <f t="shared" si="26"/>
        <v>0.4266968166</v>
      </c>
      <c r="G84" s="107">
        <f t="shared" si="26"/>
        <v>0.4715276292</v>
      </c>
      <c r="H84" s="107">
        <f t="shared" si="26"/>
        <v>0.6804168773</v>
      </c>
      <c r="I84" s="107" t="str">
        <f t="shared" si="26"/>
        <v>#ERROR!</v>
      </c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97"/>
      <c r="B85" s="106"/>
      <c r="C85" s="106"/>
      <c r="D85" s="106"/>
      <c r="E85" s="106"/>
      <c r="F85" s="106"/>
      <c r="G85" s="106"/>
      <c r="H85" s="106"/>
      <c r="I85" s="106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108" t="s">
        <v>529</v>
      </c>
      <c r="B86" s="106"/>
      <c r="C86" s="106"/>
      <c r="D86" s="106"/>
      <c r="E86" s="106"/>
      <c r="F86" s="106"/>
      <c r="G86" s="106"/>
      <c r="H86" s="106"/>
      <c r="I86" s="106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97" t="s">
        <v>515</v>
      </c>
      <c r="B87" s="106">
        <f t="shared" ref="B87:I87" si="27">B64</f>
        <v>0.1098818444</v>
      </c>
      <c r="C87" s="106">
        <f t="shared" si="27"/>
        <v>0.07539532159</v>
      </c>
      <c r="D87" s="106">
        <f t="shared" si="27"/>
        <v>0.0706114565</v>
      </c>
      <c r="E87" s="106">
        <f t="shared" si="27"/>
        <v>0.1223945962</v>
      </c>
      <c r="F87" s="106">
        <f t="shared" si="27"/>
        <v>0.1669574708</v>
      </c>
      <c r="G87" s="106">
        <f t="shared" si="27"/>
        <v>0.2188141233</v>
      </c>
      <c r="H87" s="106">
        <f t="shared" si="27"/>
        <v>0.2895422307</v>
      </c>
      <c r="I87" s="106" t="str">
        <f t="shared" si="27"/>
        <v>#ERROR!</v>
      </c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97" t="s">
        <v>530</v>
      </c>
      <c r="B88" s="106">
        <f t="shared" ref="B88:I88" si="28">(B87-B68)*(B30/B46)</f>
        <v>0.1002617456</v>
      </c>
      <c r="C88" s="106">
        <f t="shared" si="28"/>
        <v>0.06024897024</v>
      </c>
      <c r="D88" s="106">
        <f t="shared" si="28"/>
        <v>0.12049635</v>
      </c>
      <c r="E88" s="106">
        <f t="shared" si="28"/>
        <v>0.2805623873</v>
      </c>
      <c r="F88" s="106">
        <f t="shared" si="28"/>
        <v>0.3374774176</v>
      </c>
      <c r="G88" s="106">
        <f t="shared" si="28"/>
        <v>0.3014029774</v>
      </c>
      <c r="H88" s="106">
        <f t="shared" si="28"/>
        <v>0.5008210835</v>
      </c>
      <c r="I88" s="106" t="str">
        <f t="shared" si="28"/>
        <v>#ERROR!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97" t="s">
        <v>531</v>
      </c>
      <c r="B89" s="106">
        <f t="shared" ref="B89:I89" si="29">(B72-B87)*(B31/B46)</f>
        <v>-0.01102346013</v>
      </c>
      <c r="C89" s="106">
        <f t="shared" si="29"/>
        <v>-0.01520124594</v>
      </c>
      <c r="D89" s="106">
        <f t="shared" si="29"/>
        <v>-0.02763108151</v>
      </c>
      <c r="E89" s="106">
        <f t="shared" si="29"/>
        <v>-0.07140360143</v>
      </c>
      <c r="F89" s="106">
        <f t="shared" si="29"/>
        <v>-0.07734913173</v>
      </c>
      <c r="G89" s="106">
        <f t="shared" si="29"/>
        <v>-0.04799739416</v>
      </c>
      <c r="H89" s="106">
        <f t="shared" si="29"/>
        <v>-0.1085975993</v>
      </c>
      <c r="I89" s="106" t="str">
        <f t="shared" si="29"/>
        <v>#ERROR!</v>
      </c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97" t="s">
        <v>532</v>
      </c>
      <c r="B90" s="106">
        <f t="shared" ref="B90:I90" si="30">(B76-B87)*(B75/B46)</f>
        <v>-0.001174397554</v>
      </c>
      <c r="C90" s="106">
        <f t="shared" si="30"/>
        <v>-0.0008951577025</v>
      </c>
      <c r="D90" s="106">
        <f t="shared" si="30"/>
        <v>-0.0009481742292</v>
      </c>
      <c r="E90" s="106">
        <f t="shared" si="30"/>
        <v>-0.001095157556</v>
      </c>
      <c r="F90" s="106">
        <f t="shared" si="30"/>
        <v>-0.0003889399734</v>
      </c>
      <c r="G90" s="106">
        <f t="shared" si="30"/>
        <v>-0.0006920772824</v>
      </c>
      <c r="H90" s="106">
        <f t="shared" si="30"/>
        <v>-0.001348837646</v>
      </c>
      <c r="I90" s="106" t="str">
        <f t="shared" si="30"/>
        <v>#ERROR!</v>
      </c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81" t="s">
        <v>528</v>
      </c>
      <c r="B91" s="107">
        <f t="shared" ref="B91:I91" si="31">SUM(B87:B90)</f>
        <v>0.1979457323</v>
      </c>
      <c r="C91" s="107">
        <f t="shared" si="31"/>
        <v>0.1195478882</v>
      </c>
      <c r="D91" s="107">
        <f t="shared" si="31"/>
        <v>0.1625285508</v>
      </c>
      <c r="E91" s="107">
        <f t="shared" si="31"/>
        <v>0.3304582246</v>
      </c>
      <c r="F91" s="107">
        <f t="shared" si="31"/>
        <v>0.4266968166</v>
      </c>
      <c r="G91" s="107">
        <f t="shared" si="31"/>
        <v>0.4715276292</v>
      </c>
      <c r="H91" s="107">
        <f t="shared" si="31"/>
        <v>0.6804168773</v>
      </c>
      <c r="I91" s="107" t="str">
        <f t="shared" si="31"/>
        <v>#ERROR!</v>
      </c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97"/>
      <c r="B92" s="106"/>
      <c r="C92" s="106"/>
      <c r="D92" s="106"/>
      <c r="E92" s="106"/>
      <c r="F92" s="106"/>
      <c r="G92" s="106"/>
      <c r="H92" s="106"/>
      <c r="I92" s="106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108" t="s">
        <v>533</v>
      </c>
      <c r="B93" s="106"/>
      <c r="C93" s="106"/>
      <c r="D93" s="106"/>
      <c r="E93" s="106"/>
      <c r="F93" s="106"/>
      <c r="G93" s="106"/>
      <c r="H93" s="106"/>
      <c r="I93" s="106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97" t="s">
        <v>534</v>
      </c>
      <c r="B94" s="106">
        <f t="shared" ref="B94:I94" si="32">B64*(B14/B46)</f>
        <v>0.2892803436</v>
      </c>
      <c r="C94" s="106">
        <f t="shared" si="32"/>
        <v>0.2259865283</v>
      </c>
      <c r="D94" s="106">
        <f t="shared" si="32"/>
        <v>0.2205087617</v>
      </c>
      <c r="E94" s="106">
        <f t="shared" si="32"/>
        <v>0.3872662282</v>
      </c>
      <c r="F94" s="106">
        <f t="shared" si="32"/>
        <v>0.4835607012</v>
      </c>
      <c r="G94" s="106">
        <f t="shared" si="32"/>
        <v>0.5195139442</v>
      </c>
      <c r="H94" s="106">
        <f t="shared" si="32"/>
        <v>0.7532534332</v>
      </c>
      <c r="I94" s="106" t="str">
        <f t="shared" si="32"/>
        <v>#ERROR!</v>
      </c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97" t="s">
        <v>535</v>
      </c>
      <c r="B95" s="106">
        <f t="shared" ref="B95:I95" si="33">-B68*(B30/B46)</f>
        <v>-0.09165432466</v>
      </c>
      <c r="C95" s="106">
        <f t="shared" si="33"/>
        <v>-0.1068607492</v>
      </c>
      <c r="D95" s="106">
        <f t="shared" si="33"/>
        <v>-0.05802779077</v>
      </c>
      <c r="E95" s="106">
        <f t="shared" si="33"/>
        <v>-0.05691529881</v>
      </c>
      <c r="F95" s="106">
        <f t="shared" si="33"/>
        <v>-0.05693722042</v>
      </c>
      <c r="G95" s="106">
        <f t="shared" si="33"/>
        <v>-0.0499927267</v>
      </c>
      <c r="H95" s="106">
        <f t="shared" si="33"/>
        <v>-0.07296890017</v>
      </c>
      <c r="I95" s="106" t="str">
        <f t="shared" si="33"/>
        <v>#ERROR!</v>
      </c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97" t="s">
        <v>536</v>
      </c>
      <c r="B96" s="106">
        <f t="shared" ref="B96:I96" si="34">B72*(B31/B46)</f>
        <v>0.0003197133795</v>
      </c>
      <c r="C96" s="106">
        <f t="shared" si="34"/>
        <v>0.0004221090912</v>
      </c>
      <c r="D96" s="106">
        <f t="shared" si="34"/>
        <v>0.00004757988789</v>
      </c>
      <c r="E96" s="106">
        <f t="shared" si="34"/>
        <v>0.0001072951952</v>
      </c>
      <c r="F96" s="106">
        <f t="shared" si="34"/>
        <v>0.00007333582675</v>
      </c>
      <c r="G96" s="106">
        <f t="shared" si="34"/>
        <v>0.002006411678</v>
      </c>
      <c r="H96" s="106">
        <f t="shared" si="34"/>
        <v>0.0001323442567</v>
      </c>
      <c r="I96" s="106" t="str">
        <f t="shared" si="34"/>
        <v>#ERROR!</v>
      </c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5.75" customHeight="1">
      <c r="A97" s="97" t="s">
        <v>537</v>
      </c>
      <c r="B97" s="106">
        <f t="shared" ref="B97:I97" si="35">B76*(B18/B46)</f>
        <v>0</v>
      </c>
      <c r="C97" s="106">
        <f t="shared" si="35"/>
        <v>0</v>
      </c>
      <c r="D97" s="106">
        <f t="shared" si="35"/>
        <v>0</v>
      </c>
      <c r="E97" s="106">
        <f t="shared" si="35"/>
        <v>0</v>
      </c>
      <c r="F97" s="106">
        <f t="shared" si="35"/>
        <v>0</v>
      </c>
      <c r="G97" s="106">
        <f t="shared" si="35"/>
        <v>0</v>
      </c>
      <c r="H97" s="106">
        <f t="shared" si="35"/>
        <v>0</v>
      </c>
      <c r="I97" s="106" t="str">
        <f t="shared" si="35"/>
        <v>#ERROR!</v>
      </c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5.75" customHeight="1">
      <c r="A98" s="81" t="s">
        <v>528</v>
      </c>
      <c r="B98" s="107">
        <f t="shared" ref="B98:I98" si="36">SUM(B94:B97)</f>
        <v>0.1979457323</v>
      </c>
      <c r="C98" s="107">
        <f t="shared" si="36"/>
        <v>0.1195478882</v>
      </c>
      <c r="D98" s="107">
        <f t="shared" si="36"/>
        <v>0.1625285508</v>
      </c>
      <c r="E98" s="107">
        <f t="shared" si="36"/>
        <v>0.3304582246</v>
      </c>
      <c r="F98" s="107">
        <f t="shared" si="36"/>
        <v>0.4266968166</v>
      </c>
      <c r="G98" s="107">
        <f t="shared" si="36"/>
        <v>0.4715276292</v>
      </c>
      <c r="H98" s="107">
        <f t="shared" si="36"/>
        <v>0.6804168773</v>
      </c>
      <c r="I98" s="107" t="str">
        <f t="shared" si="36"/>
        <v>#ERROR!</v>
      </c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97"/>
      <c r="B99" s="106"/>
      <c r="C99" s="106"/>
      <c r="D99" s="106"/>
      <c r="E99" s="106"/>
      <c r="F99" s="106"/>
      <c r="G99" s="106"/>
      <c r="H99" s="106"/>
      <c r="I99" s="106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5.75" customHeight="1">
      <c r="A100" s="97" t="s">
        <v>538</v>
      </c>
      <c r="B100" s="106">
        <f t="shared" ref="B100:I100" si="37">B84-B91</f>
        <v>0</v>
      </c>
      <c r="C100" s="106">
        <f t="shared" si="37"/>
        <v>0</v>
      </c>
      <c r="D100" s="106">
        <f t="shared" si="37"/>
        <v>0</v>
      </c>
      <c r="E100" s="106">
        <f t="shared" si="37"/>
        <v>0</v>
      </c>
      <c r="F100" s="106">
        <f t="shared" si="37"/>
        <v>0</v>
      </c>
      <c r="G100" s="106">
        <f t="shared" si="37"/>
        <v>0</v>
      </c>
      <c r="H100" s="106">
        <f t="shared" si="37"/>
        <v>0</v>
      </c>
      <c r="I100" s="106" t="str">
        <f t="shared" si="37"/>
        <v>#ERROR!</v>
      </c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97" t="s">
        <v>539</v>
      </c>
      <c r="B101" s="106">
        <f t="shared" ref="B101:I101" si="38">B84-B98</f>
        <v>0</v>
      </c>
      <c r="C101" s="106">
        <f t="shared" si="38"/>
        <v>0</v>
      </c>
      <c r="D101" s="106">
        <f t="shared" si="38"/>
        <v>0</v>
      </c>
      <c r="E101" s="106">
        <f t="shared" si="38"/>
        <v>0</v>
      </c>
      <c r="F101" s="106">
        <f t="shared" si="38"/>
        <v>0</v>
      </c>
      <c r="G101" s="106">
        <f t="shared" si="38"/>
        <v>0</v>
      </c>
      <c r="H101" s="106">
        <f t="shared" si="38"/>
        <v>0</v>
      </c>
      <c r="I101" s="106" t="str">
        <f t="shared" si="38"/>
        <v>#ERROR!</v>
      </c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97"/>
      <c r="B102" s="106"/>
      <c r="C102" s="106"/>
      <c r="D102" s="106"/>
      <c r="E102" s="106"/>
      <c r="F102" s="106"/>
      <c r="G102" s="106"/>
      <c r="H102" s="106"/>
      <c r="I102" s="106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5.75" customHeight="1">
      <c r="A103" s="108" t="s">
        <v>540</v>
      </c>
      <c r="B103" s="106"/>
      <c r="C103" s="106"/>
      <c r="D103" s="106"/>
      <c r="E103" s="106"/>
      <c r="F103" s="106"/>
      <c r="G103" s="106"/>
      <c r="H103" s="106"/>
      <c r="I103" s="106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5.75" customHeight="1">
      <c r="A104" s="97" t="s">
        <v>527</v>
      </c>
      <c r="B104" s="106">
        <f t="shared" ref="B104:I104" si="39">B3</f>
        <v>1087201</v>
      </c>
      <c r="C104" s="106">
        <f t="shared" si="39"/>
        <v>591071</v>
      </c>
      <c r="D104" s="106">
        <f t="shared" si="39"/>
        <v>710509</v>
      </c>
      <c r="E104" s="106">
        <f t="shared" si="39"/>
        <v>1204240</v>
      </c>
      <c r="F104" s="106">
        <f t="shared" si="39"/>
        <v>1192771</v>
      </c>
      <c r="G104" s="106">
        <f t="shared" si="39"/>
        <v>970828</v>
      </c>
      <c r="H104" s="106">
        <f t="shared" si="39"/>
        <v>951134</v>
      </c>
      <c r="I104" s="106">
        <f t="shared" si="39"/>
        <v>533439</v>
      </c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97" t="s">
        <v>525</v>
      </c>
      <c r="B105" s="106">
        <f t="shared" ref="B105:I105" si="40">B46</f>
        <v>5492419.5</v>
      </c>
      <c r="C105" s="106">
        <f t="shared" si="40"/>
        <v>4944219.5</v>
      </c>
      <c r="D105" s="106">
        <f t="shared" si="40"/>
        <v>4371595</v>
      </c>
      <c r="E105" s="106">
        <f t="shared" si="40"/>
        <v>3644152</v>
      </c>
      <c r="F105" s="106">
        <f t="shared" si="40"/>
        <v>2795359.5</v>
      </c>
      <c r="G105" s="106">
        <f t="shared" si="40"/>
        <v>2058899.5</v>
      </c>
      <c r="H105" s="106">
        <f t="shared" si="40"/>
        <v>1397869.5</v>
      </c>
      <c r="I105" s="106" t="str">
        <f t="shared" si="40"/>
        <v>#ERROR!</v>
      </c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97" t="s">
        <v>541</v>
      </c>
      <c r="B106" s="106">
        <f t="shared" ref="B106:I106" si="41">(B104+B23)/B104</f>
        <v>1</v>
      </c>
      <c r="C106" s="106">
        <f t="shared" si="41"/>
        <v>1</v>
      </c>
      <c r="D106" s="106">
        <f t="shared" si="41"/>
        <v>1</v>
      </c>
      <c r="E106" s="106">
        <f t="shared" si="41"/>
        <v>1</v>
      </c>
      <c r="F106" s="106">
        <f t="shared" si="41"/>
        <v>1</v>
      </c>
      <c r="G106" s="106">
        <f t="shared" si="41"/>
        <v>1</v>
      </c>
      <c r="H106" s="106">
        <f t="shared" si="41"/>
        <v>1</v>
      </c>
      <c r="I106" s="106">
        <f t="shared" si="41"/>
        <v>1</v>
      </c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97" t="s">
        <v>542</v>
      </c>
      <c r="B107" s="106">
        <f t="shared" ref="B107:I107" si="42">(B3+B23+B29)/(B3+B23)</f>
        <v>0.8275682234</v>
      </c>
      <c r="C107" s="106">
        <f t="shared" si="42"/>
        <v>0.9587122359</v>
      </c>
      <c r="D107" s="106">
        <f t="shared" si="42"/>
        <v>0.9550632012</v>
      </c>
      <c r="E107" s="106">
        <f t="shared" si="42"/>
        <v>0.798265296</v>
      </c>
      <c r="F107" s="106">
        <f t="shared" si="42"/>
        <v>0.772387994</v>
      </c>
      <c r="G107" s="106">
        <f t="shared" si="42"/>
        <v>0.7742215923</v>
      </c>
      <c r="H107" s="106">
        <f t="shared" si="42"/>
        <v>0.7048691352</v>
      </c>
      <c r="I107" s="106">
        <f t="shared" si="42"/>
        <v>0.6837632794</v>
      </c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97" t="s">
        <v>543</v>
      </c>
      <c r="B108" s="106">
        <f t="shared" ref="B108:I108" si="43">B6/B46</f>
        <v>0.163813598</v>
      </c>
      <c r="C108" s="106">
        <f t="shared" si="43"/>
        <v>0.1146120232</v>
      </c>
      <c r="D108" s="106">
        <f t="shared" si="43"/>
        <v>0.155225038</v>
      </c>
      <c r="E108" s="106">
        <f t="shared" si="43"/>
        <v>0.2637933324</v>
      </c>
      <c r="F108" s="106">
        <f t="shared" si="43"/>
        <v>0.3295754982</v>
      </c>
      <c r="G108" s="106">
        <f t="shared" si="43"/>
        <v>0.3650668719</v>
      </c>
      <c r="H108" s="106">
        <f t="shared" si="43"/>
        <v>0.4796048558</v>
      </c>
      <c r="I108" s="106" t="str">
        <f t="shared" si="43"/>
        <v>#ERROR!</v>
      </c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81" t="s">
        <v>526</v>
      </c>
      <c r="B109" s="107">
        <f t="shared" ref="B109:I109" si="44">(B104/B105)*B106*B107</f>
        <v>0.163813598</v>
      </c>
      <c r="C109" s="107">
        <f t="shared" si="44"/>
        <v>0.1146120232</v>
      </c>
      <c r="D109" s="107">
        <f t="shared" si="44"/>
        <v>0.155225038</v>
      </c>
      <c r="E109" s="107">
        <f t="shared" si="44"/>
        <v>0.2637933324</v>
      </c>
      <c r="F109" s="107">
        <f t="shared" si="44"/>
        <v>0.3295754982</v>
      </c>
      <c r="G109" s="107">
        <f t="shared" si="44"/>
        <v>0.3650668719</v>
      </c>
      <c r="H109" s="107">
        <f t="shared" si="44"/>
        <v>0.4796048558</v>
      </c>
      <c r="I109" s="107" t="str">
        <f t="shared" si="44"/>
        <v>#ERROR!</v>
      </c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97" t="s">
        <v>544</v>
      </c>
      <c r="B110" s="109">
        <f t="shared" ref="B110:I110" si="45">B109-B80</f>
        <v>0</v>
      </c>
      <c r="C110" s="109">
        <f t="shared" si="45"/>
        <v>0</v>
      </c>
      <c r="D110" s="109">
        <f t="shared" si="45"/>
        <v>0</v>
      </c>
      <c r="E110" s="109">
        <f t="shared" si="45"/>
        <v>0</v>
      </c>
      <c r="F110" s="109">
        <f t="shared" si="45"/>
        <v>0</v>
      </c>
      <c r="G110" s="109">
        <f t="shared" si="45"/>
        <v>0</v>
      </c>
      <c r="H110" s="109">
        <f t="shared" si="45"/>
        <v>0</v>
      </c>
      <c r="I110" s="109" t="str">
        <f t="shared" si="45"/>
        <v>#ERROR!</v>
      </c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5.75" customHeight="1">
      <c r="A113" s="105" t="s">
        <v>458</v>
      </c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5.75" customHeight="1">
      <c r="A114" s="105" t="s">
        <v>545</v>
      </c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5.75" customHeight="1">
      <c r="A115" s="97" t="s">
        <v>489</v>
      </c>
      <c r="B115" s="106">
        <f t="shared" ref="B115:I115" si="46">B32</f>
        <v>4076587.5</v>
      </c>
      <c r="C115" s="106">
        <f t="shared" si="46"/>
        <v>3431489.5</v>
      </c>
      <c r="D115" s="106">
        <f t="shared" si="46"/>
        <v>3073409.5</v>
      </c>
      <c r="E115" s="106">
        <f t="shared" si="46"/>
        <v>2983914</v>
      </c>
      <c r="F115" s="106">
        <f t="shared" si="46"/>
        <v>2715056.5</v>
      </c>
      <c r="G115" s="106">
        <f t="shared" si="46"/>
        <v>2498211</v>
      </c>
      <c r="H115" s="106">
        <f t="shared" si="46"/>
        <v>2367411.5</v>
      </c>
      <c r="I115" s="106">
        <f t="shared" si="46"/>
        <v>2381302</v>
      </c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5.75" customHeight="1">
      <c r="A116" s="97" t="s">
        <v>546</v>
      </c>
      <c r="B116" s="106">
        <f t="shared" ref="B116:I116" si="47">B9</f>
        <v>72367.70932</v>
      </c>
      <c r="C116" s="106">
        <f t="shared" si="47"/>
        <v>70667.71786</v>
      </c>
      <c r="D116" s="106">
        <f t="shared" si="47"/>
        <v>59567.04816</v>
      </c>
      <c r="E116" s="106">
        <f t="shared" si="47"/>
        <v>52270.67605</v>
      </c>
      <c r="F116" s="106">
        <f t="shared" si="47"/>
        <v>47920.52707</v>
      </c>
      <c r="G116" s="106">
        <f t="shared" si="47"/>
        <v>45290.91901</v>
      </c>
      <c r="H116" s="106">
        <f t="shared" si="47"/>
        <v>38503.31364</v>
      </c>
      <c r="I116" s="106">
        <f t="shared" si="47"/>
        <v>33148.37266</v>
      </c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5.75" customHeight="1">
      <c r="A117" s="81" t="s">
        <v>547</v>
      </c>
      <c r="B117" s="110">
        <f t="shared" ref="B117:I117" si="48">B115/B116</f>
        <v>56.33158129</v>
      </c>
      <c r="C117" s="110">
        <f t="shared" si="48"/>
        <v>48.55809136</v>
      </c>
      <c r="D117" s="110">
        <f t="shared" si="48"/>
        <v>51.59579994</v>
      </c>
      <c r="E117" s="110">
        <f t="shared" si="48"/>
        <v>57.08581226</v>
      </c>
      <c r="F117" s="110">
        <f t="shared" si="48"/>
        <v>56.65748409</v>
      </c>
      <c r="G117" s="110">
        <f t="shared" si="48"/>
        <v>55.15920309</v>
      </c>
      <c r="H117" s="110">
        <f t="shared" si="48"/>
        <v>61.48591578</v>
      </c>
      <c r="I117" s="110">
        <f t="shared" si="48"/>
        <v>71.83767434</v>
      </c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97"/>
      <c r="B118" s="106"/>
      <c r="C118" s="106"/>
      <c r="D118" s="106"/>
      <c r="E118" s="106"/>
      <c r="F118" s="106"/>
      <c r="G118" s="106"/>
      <c r="H118" s="106"/>
      <c r="I118" s="106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5.75" customHeight="1">
      <c r="A119" s="97" t="s">
        <v>490</v>
      </c>
      <c r="B119" s="106">
        <f t="shared" ref="B119:I119" si="49">B33</f>
        <v>2308640.5</v>
      </c>
      <c r="C119" s="106">
        <f t="shared" si="49"/>
        <v>2430353.5</v>
      </c>
      <c r="D119" s="106">
        <f t="shared" si="49"/>
        <v>2329921</v>
      </c>
      <c r="E119" s="106">
        <f t="shared" si="49"/>
        <v>1763975.5</v>
      </c>
      <c r="F119" s="106">
        <f t="shared" si="49"/>
        <v>1734486</v>
      </c>
      <c r="G119" s="106">
        <f t="shared" si="49"/>
        <v>1639495</v>
      </c>
      <c r="H119" s="106">
        <f t="shared" si="49"/>
        <v>1229982</v>
      </c>
      <c r="I119" s="106" t="str">
        <f t="shared" si="49"/>
        <v>#ERROR!</v>
      </c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5.75" customHeight="1">
      <c r="A120" s="97" t="s">
        <v>548</v>
      </c>
      <c r="B120" s="106">
        <f t="shared" ref="B120:I120" si="50">-B11</f>
        <v>57621.43896</v>
      </c>
      <c r="C120" s="106">
        <f t="shared" si="50"/>
        <v>58630.68312</v>
      </c>
      <c r="D120" s="106">
        <f t="shared" si="50"/>
        <v>56282.87501</v>
      </c>
      <c r="E120" s="106">
        <f t="shared" si="50"/>
        <v>42115.89074</v>
      </c>
      <c r="F120" s="106">
        <f t="shared" si="50"/>
        <v>36937.98679</v>
      </c>
      <c r="G120" s="106">
        <f t="shared" si="50"/>
        <v>38454.7309</v>
      </c>
      <c r="H120" s="106">
        <f t="shared" si="50"/>
        <v>31318.47627</v>
      </c>
      <c r="I120" s="106">
        <f t="shared" si="50"/>
        <v>26457.14395</v>
      </c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5.75" customHeight="1">
      <c r="A121" s="81" t="s">
        <v>549</v>
      </c>
      <c r="B121" s="110">
        <f t="shared" ref="B121:I121" si="51">B119/B120</f>
        <v>40.06565163</v>
      </c>
      <c r="C121" s="110">
        <f t="shared" si="51"/>
        <v>41.45190488</v>
      </c>
      <c r="D121" s="110">
        <f t="shared" si="51"/>
        <v>41.39662374</v>
      </c>
      <c r="E121" s="110">
        <f t="shared" si="51"/>
        <v>41.88384643</v>
      </c>
      <c r="F121" s="110">
        <f t="shared" si="51"/>
        <v>46.95670096</v>
      </c>
      <c r="G121" s="110">
        <f t="shared" si="51"/>
        <v>42.63441614</v>
      </c>
      <c r="H121" s="110">
        <f t="shared" si="51"/>
        <v>39.2733666</v>
      </c>
      <c r="I121" s="110" t="str">
        <f t="shared" si="51"/>
        <v>#ERROR!</v>
      </c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97"/>
      <c r="B122" s="106"/>
      <c r="C122" s="106"/>
      <c r="D122" s="106"/>
      <c r="E122" s="106"/>
      <c r="F122" s="106"/>
      <c r="G122" s="106"/>
      <c r="H122" s="106"/>
      <c r="I122" s="106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5.75" customHeight="1">
      <c r="A123" s="97" t="s">
        <v>550</v>
      </c>
      <c r="B123" s="106">
        <f t="shared" ref="B123:I123" si="52">B34</f>
        <v>4824580</v>
      </c>
      <c r="C123" s="106">
        <f t="shared" si="52"/>
        <v>5145305</v>
      </c>
      <c r="D123" s="106">
        <f t="shared" si="52"/>
        <v>4087317.5</v>
      </c>
      <c r="E123" s="106">
        <f t="shared" si="52"/>
        <v>2740524.5</v>
      </c>
      <c r="F123" s="106">
        <f t="shared" si="52"/>
        <v>2783699.5</v>
      </c>
      <c r="G123" s="106">
        <f t="shared" si="52"/>
        <v>2716481</v>
      </c>
      <c r="H123" s="106">
        <f t="shared" si="52"/>
        <v>2246438</v>
      </c>
      <c r="I123" s="106" t="str">
        <f t="shared" si="52"/>
        <v>#ERROR!</v>
      </c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5.75" customHeight="1">
      <c r="A124" s="97" t="s">
        <v>551</v>
      </c>
      <c r="B124" s="106">
        <f t="shared" ref="B124:I124" si="53">-B12</f>
        <v>48523.01096</v>
      </c>
      <c r="C124" s="106">
        <f t="shared" si="53"/>
        <v>44197.12466</v>
      </c>
      <c r="D124" s="106">
        <f t="shared" si="53"/>
        <v>36637.51781</v>
      </c>
      <c r="E124" s="106">
        <f t="shared" si="53"/>
        <v>32517.41781</v>
      </c>
      <c r="F124" s="106">
        <f t="shared" si="53"/>
        <v>30714.49452</v>
      </c>
      <c r="G124" s="106">
        <f t="shared" si="53"/>
        <v>27307.7863</v>
      </c>
      <c r="H124" s="106">
        <f t="shared" si="53"/>
        <v>23215.59452</v>
      </c>
      <c r="I124" s="106">
        <f t="shared" si="53"/>
        <v>21723.61096</v>
      </c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5.75" customHeight="1">
      <c r="A125" s="97" t="s">
        <v>552</v>
      </c>
      <c r="B125" s="106">
        <f t="shared" ref="B125:I125" si="54">-B13</f>
        <v>4184.280822</v>
      </c>
      <c r="C125" s="106">
        <f t="shared" si="54"/>
        <v>4326.735616</v>
      </c>
      <c r="D125" s="106">
        <f t="shared" si="54"/>
        <v>4221.471233</v>
      </c>
      <c r="E125" s="106">
        <f t="shared" si="54"/>
        <v>3795.428767</v>
      </c>
      <c r="F125" s="106">
        <f t="shared" si="54"/>
        <v>3517.19863</v>
      </c>
      <c r="G125" s="106">
        <f t="shared" si="54"/>
        <v>3249.523288</v>
      </c>
      <c r="H125" s="106">
        <f t="shared" si="54"/>
        <v>2684.394521</v>
      </c>
      <c r="I125" s="106">
        <f t="shared" si="54"/>
        <v>2365.950685</v>
      </c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5.75" customHeight="1">
      <c r="A126" s="81" t="s">
        <v>553</v>
      </c>
      <c r="B126" s="110">
        <f t="shared" ref="B126:I126" si="55">B123/(B124+B125)</f>
        <v>91.5353424</v>
      </c>
      <c r="C126" s="110">
        <f t="shared" si="55"/>
        <v>106.0365967</v>
      </c>
      <c r="D126" s="110">
        <f t="shared" si="55"/>
        <v>100.0347193</v>
      </c>
      <c r="E126" s="110">
        <f t="shared" si="55"/>
        <v>75.46983391</v>
      </c>
      <c r="F126" s="110">
        <f t="shared" si="55"/>
        <v>81.31936354</v>
      </c>
      <c r="G126" s="110">
        <f t="shared" si="55"/>
        <v>88.89791138</v>
      </c>
      <c r="H126" s="110">
        <f t="shared" si="55"/>
        <v>86.73509461</v>
      </c>
      <c r="I126" s="110" t="str">
        <f t="shared" si="55"/>
        <v>#ERROR!</v>
      </c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97"/>
      <c r="B127" s="106"/>
      <c r="C127" s="106"/>
      <c r="D127" s="106"/>
      <c r="E127" s="106"/>
      <c r="F127" s="106"/>
      <c r="G127" s="106"/>
      <c r="H127" s="106"/>
      <c r="I127" s="106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5.75" customHeight="1">
      <c r="A128" s="97" t="s">
        <v>464</v>
      </c>
      <c r="B128" s="106">
        <f t="shared" ref="B128:I128" si="56">B7</f>
        <v>21650995</v>
      </c>
      <c r="C128" s="106">
        <f t="shared" si="56"/>
        <v>21142391</v>
      </c>
      <c r="D128" s="106">
        <f t="shared" si="56"/>
        <v>17821289</v>
      </c>
      <c r="E128" s="106">
        <f t="shared" si="56"/>
        <v>15638358</v>
      </c>
      <c r="F128" s="106">
        <f t="shared" si="56"/>
        <v>14336879</v>
      </c>
      <c r="G128" s="106">
        <f t="shared" si="56"/>
        <v>13550152</v>
      </c>
      <c r="H128" s="106">
        <f t="shared" si="56"/>
        <v>11519434</v>
      </c>
      <c r="I128" s="106">
        <f t="shared" si="56"/>
        <v>9917341</v>
      </c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5.75" customHeight="1">
      <c r="A129" s="97" t="s">
        <v>554</v>
      </c>
      <c r="B129" s="106">
        <f t="shared" ref="B129:I129" si="57">B123</f>
        <v>4824580</v>
      </c>
      <c r="C129" s="106">
        <f t="shared" si="57"/>
        <v>5145305</v>
      </c>
      <c r="D129" s="106">
        <f t="shared" si="57"/>
        <v>4087317.5</v>
      </c>
      <c r="E129" s="106">
        <f t="shared" si="57"/>
        <v>2740524.5</v>
      </c>
      <c r="F129" s="106">
        <f t="shared" si="57"/>
        <v>2783699.5</v>
      </c>
      <c r="G129" s="106">
        <f t="shared" si="57"/>
        <v>2716481</v>
      </c>
      <c r="H129" s="106">
        <f t="shared" si="57"/>
        <v>2246438</v>
      </c>
      <c r="I129" s="106" t="str">
        <f t="shared" si="57"/>
        <v>#ERROR!</v>
      </c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5.75" customHeight="1">
      <c r="A130" s="81" t="s">
        <v>555</v>
      </c>
      <c r="B130" s="110">
        <f t="shared" ref="B130:I130" si="58">B128/B129</f>
        <v>4.487643484</v>
      </c>
      <c r="C130" s="110">
        <f t="shared" si="58"/>
        <v>4.109064672</v>
      </c>
      <c r="D130" s="110">
        <f t="shared" si="58"/>
        <v>4.360143052</v>
      </c>
      <c r="E130" s="110">
        <f t="shared" si="58"/>
        <v>5.706337601</v>
      </c>
      <c r="F130" s="110">
        <f t="shared" si="58"/>
        <v>5.150296934</v>
      </c>
      <c r="G130" s="110">
        <f t="shared" si="58"/>
        <v>4.988126919</v>
      </c>
      <c r="H130" s="110">
        <f t="shared" si="58"/>
        <v>5.127866427</v>
      </c>
      <c r="I130" s="110" t="str">
        <f t="shared" si="58"/>
        <v>#ERROR!</v>
      </c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97"/>
      <c r="B131" s="106"/>
      <c r="C131" s="106"/>
      <c r="D131" s="106"/>
      <c r="E131" s="106"/>
      <c r="F131" s="106"/>
      <c r="G131" s="106"/>
      <c r="H131" s="106"/>
      <c r="I131" s="106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5.75" customHeight="1">
      <c r="A132" s="97" t="s">
        <v>464</v>
      </c>
      <c r="B132" s="106">
        <f t="shared" ref="B132:I132" si="59">B128</f>
        <v>21650995</v>
      </c>
      <c r="C132" s="106">
        <f t="shared" si="59"/>
        <v>21142391</v>
      </c>
      <c r="D132" s="106">
        <f t="shared" si="59"/>
        <v>17821289</v>
      </c>
      <c r="E132" s="106">
        <f t="shared" si="59"/>
        <v>15638358</v>
      </c>
      <c r="F132" s="106">
        <f t="shared" si="59"/>
        <v>14336879</v>
      </c>
      <c r="G132" s="106">
        <f t="shared" si="59"/>
        <v>13550152</v>
      </c>
      <c r="H132" s="106">
        <f t="shared" si="59"/>
        <v>11519434</v>
      </c>
      <c r="I132" s="106">
        <f t="shared" si="59"/>
        <v>9917341</v>
      </c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5.75" customHeight="1">
      <c r="A133" s="97" t="s">
        <v>556</v>
      </c>
      <c r="B133" s="106">
        <f>AVERAGE('RC'!C102:D102)</f>
        <v>14640303.5</v>
      </c>
      <c r="C133" s="106">
        <f>AVERAGE('RC'!D102:E102)</f>
        <v>14571180.5</v>
      </c>
      <c r="D133" s="106">
        <f>AVERAGE('RC'!E102:F102)</f>
        <v>13376275</v>
      </c>
      <c r="E133" s="106">
        <f>AVERAGE('RC'!F102:G102)</f>
        <v>11476466</v>
      </c>
      <c r="F133" s="106">
        <f>AVERAGE('RC'!G102:H102)</f>
        <v>7997149.5</v>
      </c>
      <c r="G133" s="106">
        <f>AVERAGE('RC'!H102:I102)</f>
        <v>4955131.5</v>
      </c>
      <c r="H133" s="106">
        <f>AVERAGE('RC'!I102:J102)</f>
        <v>3906341.5</v>
      </c>
      <c r="I133" s="106">
        <f>AVERAGE('RC'!J102)</f>
        <v>3589908</v>
      </c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5.75" customHeight="1">
      <c r="A134" s="81" t="s">
        <v>557</v>
      </c>
      <c r="B134" s="110">
        <f t="shared" ref="B134:I134" si="60">B132/B133</f>
        <v>1.478862443</v>
      </c>
      <c r="C134" s="110">
        <f t="shared" si="60"/>
        <v>1.450973104</v>
      </c>
      <c r="D134" s="110">
        <f t="shared" si="60"/>
        <v>1.332305818</v>
      </c>
      <c r="E134" s="110">
        <f t="shared" si="60"/>
        <v>1.362645783</v>
      </c>
      <c r="F134" s="110">
        <f t="shared" si="60"/>
        <v>1.792748654</v>
      </c>
      <c r="G134" s="110">
        <f t="shared" si="60"/>
        <v>2.734569607</v>
      </c>
      <c r="H134" s="110">
        <f t="shared" si="60"/>
        <v>2.948906029</v>
      </c>
      <c r="I134" s="110">
        <f t="shared" si="60"/>
        <v>2.762561325</v>
      </c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97"/>
      <c r="B135" s="106"/>
      <c r="C135" s="106"/>
      <c r="D135" s="106"/>
      <c r="E135" s="106"/>
      <c r="F135" s="106"/>
      <c r="G135" s="106"/>
      <c r="H135" s="106"/>
      <c r="I135" s="106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5.75" customHeight="1">
      <c r="A136" s="97" t="s">
        <v>464</v>
      </c>
      <c r="B136" s="106">
        <f t="shared" ref="B136:I136" si="61">B132</f>
        <v>21650995</v>
      </c>
      <c r="C136" s="106">
        <f t="shared" si="61"/>
        <v>21142391</v>
      </c>
      <c r="D136" s="106">
        <f t="shared" si="61"/>
        <v>17821289</v>
      </c>
      <c r="E136" s="106">
        <f t="shared" si="61"/>
        <v>15638358</v>
      </c>
      <c r="F136" s="106">
        <f t="shared" si="61"/>
        <v>14336879</v>
      </c>
      <c r="G136" s="106">
        <f t="shared" si="61"/>
        <v>13550152</v>
      </c>
      <c r="H136" s="106">
        <f t="shared" si="61"/>
        <v>11519434</v>
      </c>
      <c r="I136" s="106">
        <f t="shared" si="61"/>
        <v>9917341</v>
      </c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5.75" customHeight="1">
      <c r="A137" s="97" t="s">
        <v>558</v>
      </c>
      <c r="B137" s="106">
        <f t="shared" ref="B137:I137" si="62">B14</f>
        <v>14459613.5</v>
      </c>
      <c r="C137" s="106">
        <f t="shared" si="62"/>
        <v>14819580</v>
      </c>
      <c r="D137" s="106">
        <f t="shared" si="62"/>
        <v>13651821.5</v>
      </c>
      <c r="E137" s="106">
        <f t="shared" si="62"/>
        <v>11530386.5</v>
      </c>
      <c r="F137" s="106">
        <f t="shared" si="62"/>
        <v>8096229.5</v>
      </c>
      <c r="G137" s="106">
        <f t="shared" si="62"/>
        <v>4888290.5</v>
      </c>
      <c r="H137" s="106">
        <f t="shared" si="62"/>
        <v>3636602.5</v>
      </c>
      <c r="I137" s="106" t="str">
        <f t="shared" si="62"/>
        <v>#ERROR!</v>
      </c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5.75" customHeight="1">
      <c r="A138" s="81" t="s">
        <v>559</v>
      </c>
      <c r="B138" s="110">
        <f t="shared" ref="B138:I138" si="63">B136/B137</f>
        <v>1.497342581</v>
      </c>
      <c r="C138" s="110">
        <f t="shared" si="63"/>
        <v>1.42665251</v>
      </c>
      <c r="D138" s="110">
        <f t="shared" si="63"/>
        <v>1.305414739</v>
      </c>
      <c r="E138" s="110">
        <f t="shared" si="63"/>
        <v>1.35627353</v>
      </c>
      <c r="F138" s="110">
        <f t="shared" si="63"/>
        <v>1.770809363</v>
      </c>
      <c r="G138" s="110">
        <f t="shared" si="63"/>
        <v>2.771961282</v>
      </c>
      <c r="H138" s="110">
        <f t="shared" si="63"/>
        <v>3.167636276</v>
      </c>
      <c r="I138" s="110" t="str">
        <f t="shared" si="63"/>
        <v>#ERROR!</v>
      </c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97"/>
      <c r="B139" s="106"/>
      <c r="C139" s="106"/>
      <c r="D139" s="106"/>
      <c r="E139" s="106"/>
      <c r="F139" s="106"/>
      <c r="G139" s="106"/>
      <c r="H139" s="106"/>
      <c r="I139" s="106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5.75" customHeight="1">
      <c r="A140" s="97" t="s">
        <v>515</v>
      </c>
      <c r="B140" s="106">
        <f t="shared" ref="B140:I140" si="64">B64</f>
        <v>0.1098818444</v>
      </c>
      <c r="C140" s="106">
        <f t="shared" si="64"/>
        <v>0.07539532159</v>
      </c>
      <c r="D140" s="106">
        <f t="shared" si="64"/>
        <v>0.0706114565</v>
      </c>
      <c r="E140" s="106">
        <f t="shared" si="64"/>
        <v>0.1223945962</v>
      </c>
      <c r="F140" s="106">
        <f t="shared" si="64"/>
        <v>0.1669574708</v>
      </c>
      <c r="G140" s="106">
        <f t="shared" si="64"/>
        <v>0.2188141233</v>
      </c>
      <c r="H140" s="106">
        <f t="shared" si="64"/>
        <v>0.2895422307</v>
      </c>
      <c r="I140" s="106" t="str">
        <f t="shared" si="64"/>
        <v>#ERROR!</v>
      </c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5.75" customHeight="1">
      <c r="A141" s="97" t="s">
        <v>560</v>
      </c>
      <c r="B141" s="106">
        <f t="shared" ref="B141:I141" si="65">B60</f>
        <v>0.07338457193</v>
      </c>
      <c r="C141" s="106">
        <f t="shared" si="65"/>
        <v>0.05284771245</v>
      </c>
      <c r="D141" s="106">
        <f t="shared" si="65"/>
        <v>0.05409120519</v>
      </c>
      <c r="E141" s="106">
        <f t="shared" si="65"/>
        <v>0.09024329792</v>
      </c>
      <c r="F141" s="106">
        <f t="shared" si="65"/>
        <v>0.0942831421</v>
      </c>
      <c r="G141" s="106">
        <f t="shared" si="65"/>
        <v>0.07893837648</v>
      </c>
      <c r="H141" s="106">
        <f t="shared" si="65"/>
        <v>0.0914064007</v>
      </c>
      <c r="I141" s="106">
        <f t="shared" si="65"/>
        <v>0.06411466541</v>
      </c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5.75" customHeight="1">
      <c r="A142" s="81" t="s">
        <v>561</v>
      </c>
      <c r="B142" s="110">
        <f t="shared" ref="B142:I142" si="66">B140/B141</f>
        <v>1.497342581</v>
      </c>
      <c r="C142" s="110">
        <f t="shared" si="66"/>
        <v>1.42665251</v>
      </c>
      <c r="D142" s="110">
        <f t="shared" si="66"/>
        <v>1.305414739</v>
      </c>
      <c r="E142" s="110">
        <f t="shared" si="66"/>
        <v>1.35627353</v>
      </c>
      <c r="F142" s="110">
        <f t="shared" si="66"/>
        <v>1.770809363</v>
      </c>
      <c r="G142" s="110">
        <f t="shared" si="66"/>
        <v>2.771961282</v>
      </c>
      <c r="H142" s="110">
        <f t="shared" si="66"/>
        <v>3.167636276</v>
      </c>
      <c r="I142" s="110" t="str">
        <f t="shared" si="66"/>
        <v>#ERROR!</v>
      </c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5.75" customHeight="1">
      <c r="A145" s="105" t="s">
        <v>458</v>
      </c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5.75" customHeight="1">
      <c r="A146" s="105" t="s">
        <v>562</v>
      </c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5.75" customHeight="1">
      <c r="A147" s="97" t="s">
        <v>563</v>
      </c>
      <c r="B147" s="106">
        <f t="shared" ref="B147:I147" si="67">B37</f>
        <v>9705479</v>
      </c>
      <c r="C147" s="106">
        <f t="shared" si="67"/>
        <v>10479983</v>
      </c>
      <c r="D147" s="106">
        <f t="shared" si="67"/>
        <v>9950581</v>
      </c>
      <c r="E147" s="106">
        <f t="shared" si="67"/>
        <v>6369238</v>
      </c>
      <c r="F147" s="106">
        <f t="shared" si="67"/>
        <v>5733199</v>
      </c>
      <c r="G147" s="106">
        <f t="shared" si="67"/>
        <v>6091180</v>
      </c>
      <c r="H147" s="106">
        <f t="shared" si="67"/>
        <v>4916830</v>
      </c>
      <c r="I147" s="106">
        <f t="shared" si="67"/>
        <v>4530450</v>
      </c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5.75" customHeight="1">
      <c r="A148" s="97" t="s">
        <v>564</v>
      </c>
      <c r="B148" s="106">
        <f t="shared" ref="B148:I148" si="68">B39</f>
        <v>7731693</v>
      </c>
      <c r="C148" s="106">
        <f t="shared" si="68"/>
        <v>8455666</v>
      </c>
      <c r="D148" s="106">
        <f t="shared" si="68"/>
        <v>9155562</v>
      </c>
      <c r="E148" s="106">
        <f t="shared" si="68"/>
        <v>6552733</v>
      </c>
      <c r="F148" s="106">
        <f t="shared" si="68"/>
        <v>5110565</v>
      </c>
      <c r="G148" s="106">
        <f t="shared" si="68"/>
        <v>6131837</v>
      </c>
      <c r="H148" s="106">
        <f t="shared" si="68"/>
        <v>3685275</v>
      </c>
      <c r="I148" s="106">
        <f t="shared" si="68"/>
        <v>3922106</v>
      </c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5.75" customHeight="1">
      <c r="A149" s="81" t="s">
        <v>565</v>
      </c>
      <c r="B149" s="110">
        <f t="shared" ref="B149:I149" si="69">B147/B148</f>
        <v>1.255285097</v>
      </c>
      <c r="C149" s="110">
        <f t="shared" si="69"/>
        <v>1.239403614</v>
      </c>
      <c r="D149" s="110">
        <f t="shared" si="69"/>
        <v>1.086834538</v>
      </c>
      <c r="E149" s="110">
        <f t="shared" si="69"/>
        <v>0.9719971804</v>
      </c>
      <c r="F149" s="110">
        <f t="shared" si="69"/>
        <v>1.121832713</v>
      </c>
      <c r="G149" s="110">
        <f t="shared" si="69"/>
        <v>0.9933695237</v>
      </c>
      <c r="H149" s="110">
        <f t="shared" si="69"/>
        <v>1.334182659</v>
      </c>
      <c r="I149" s="110">
        <f t="shared" si="69"/>
        <v>1.155106466</v>
      </c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97"/>
      <c r="B150" s="106"/>
      <c r="C150" s="106"/>
      <c r="D150" s="106"/>
      <c r="E150" s="106"/>
      <c r="F150" s="106"/>
      <c r="G150" s="106"/>
      <c r="H150" s="106"/>
      <c r="I150" s="106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5.75" customHeight="1">
      <c r="A151" s="97" t="s">
        <v>566</v>
      </c>
      <c r="B151" s="106">
        <f t="shared" ref="B151:I151" si="70">B37-B35</f>
        <v>5096665</v>
      </c>
      <c r="C151" s="106">
        <f t="shared" si="70"/>
        <v>5439637</v>
      </c>
      <c r="D151" s="106">
        <f t="shared" si="70"/>
        <v>4700317</v>
      </c>
      <c r="E151" s="106">
        <f t="shared" si="70"/>
        <v>3444867</v>
      </c>
      <c r="F151" s="106">
        <f t="shared" si="70"/>
        <v>3176521</v>
      </c>
      <c r="G151" s="106">
        <f t="shared" si="70"/>
        <v>3080459</v>
      </c>
      <c r="H151" s="106">
        <f t="shared" si="70"/>
        <v>2494589</v>
      </c>
      <c r="I151" s="106">
        <f t="shared" si="70"/>
        <v>2459815</v>
      </c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5.75" customHeight="1">
      <c r="A152" s="97" t="s">
        <v>567</v>
      </c>
      <c r="B152" s="106">
        <f t="shared" ref="B152:I152" si="71">B148</f>
        <v>7731693</v>
      </c>
      <c r="C152" s="106">
        <f t="shared" si="71"/>
        <v>8455666</v>
      </c>
      <c r="D152" s="106">
        <f t="shared" si="71"/>
        <v>9155562</v>
      </c>
      <c r="E152" s="106">
        <f t="shared" si="71"/>
        <v>6552733</v>
      </c>
      <c r="F152" s="106">
        <f t="shared" si="71"/>
        <v>5110565</v>
      </c>
      <c r="G152" s="106">
        <f t="shared" si="71"/>
        <v>6131837</v>
      </c>
      <c r="H152" s="106">
        <f t="shared" si="71"/>
        <v>3685275</v>
      </c>
      <c r="I152" s="106">
        <f t="shared" si="71"/>
        <v>3922106</v>
      </c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5.75" customHeight="1">
      <c r="A153" s="81" t="s">
        <v>568</v>
      </c>
      <c r="B153" s="110">
        <f t="shared" ref="B153:I153" si="72">B151/B152</f>
        <v>0.6591913311</v>
      </c>
      <c r="C153" s="110">
        <f t="shared" si="72"/>
        <v>0.6433126616</v>
      </c>
      <c r="D153" s="110">
        <f t="shared" si="72"/>
        <v>0.513383777</v>
      </c>
      <c r="E153" s="110">
        <f t="shared" si="72"/>
        <v>0.5257145377</v>
      </c>
      <c r="F153" s="110">
        <f t="shared" si="72"/>
        <v>0.6215596514</v>
      </c>
      <c r="G153" s="110">
        <f t="shared" si="72"/>
        <v>0.5023713122</v>
      </c>
      <c r="H153" s="110">
        <f t="shared" si="72"/>
        <v>0.6769071508</v>
      </c>
      <c r="I153" s="110">
        <f t="shared" si="72"/>
        <v>0.6271668843</v>
      </c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97"/>
      <c r="B154" s="106"/>
      <c r="C154" s="106"/>
      <c r="D154" s="106"/>
      <c r="E154" s="106"/>
      <c r="F154" s="106"/>
      <c r="G154" s="106"/>
      <c r="H154" s="106"/>
      <c r="I154" s="106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5.75" customHeight="1">
      <c r="A155" s="97" t="s">
        <v>569</v>
      </c>
      <c r="B155" s="106">
        <f t="shared" ref="B155:I155" si="73">B48</f>
        <v>5757287</v>
      </c>
      <c r="C155" s="106">
        <f t="shared" si="73"/>
        <v>5227552</v>
      </c>
      <c r="D155" s="106">
        <f t="shared" si="73"/>
        <v>4660887</v>
      </c>
      <c r="E155" s="106">
        <f t="shared" si="73"/>
        <v>4082303</v>
      </c>
      <c r="F155" s="106">
        <f t="shared" si="73"/>
        <v>3206001</v>
      </c>
      <c r="G155" s="106">
        <f t="shared" si="73"/>
        <v>2384718</v>
      </c>
      <c r="H155" s="106">
        <f t="shared" si="73"/>
        <v>1733081</v>
      </c>
      <c r="I155" s="106">
        <f t="shared" si="73"/>
        <v>1062658</v>
      </c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5.75" customHeight="1">
      <c r="A156" s="97" t="s">
        <v>570</v>
      </c>
      <c r="B156" s="106">
        <f t="shared" ref="B156:I156" si="74">B45+B20</f>
        <v>8842950</v>
      </c>
      <c r="C156" s="106">
        <f t="shared" si="74"/>
        <v>9182852</v>
      </c>
      <c r="D156" s="106">
        <f t="shared" si="74"/>
        <v>9614947</v>
      </c>
      <c r="E156" s="106">
        <f t="shared" si="74"/>
        <v>9565702</v>
      </c>
      <c r="F156" s="106">
        <f t="shared" si="74"/>
        <v>7064989</v>
      </c>
      <c r="G156" s="106">
        <f t="shared" si="74"/>
        <v>2608097</v>
      </c>
      <c r="H156" s="106">
        <f t="shared" si="74"/>
        <v>1192931</v>
      </c>
      <c r="I156" s="106">
        <f t="shared" si="74"/>
        <v>900307</v>
      </c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5.75" customHeight="1">
      <c r="A157" s="81" t="s">
        <v>571</v>
      </c>
      <c r="B157" s="110">
        <f t="shared" ref="B157:I157" si="75">B155-B156</f>
        <v>-3085663</v>
      </c>
      <c r="C157" s="110">
        <f t="shared" si="75"/>
        <v>-3955300</v>
      </c>
      <c r="D157" s="110">
        <f t="shared" si="75"/>
        <v>-4954060</v>
      </c>
      <c r="E157" s="110">
        <f t="shared" si="75"/>
        <v>-5483399</v>
      </c>
      <c r="F157" s="110">
        <f t="shared" si="75"/>
        <v>-3858988</v>
      </c>
      <c r="G157" s="110">
        <f t="shared" si="75"/>
        <v>-223379</v>
      </c>
      <c r="H157" s="110">
        <f t="shared" si="75"/>
        <v>540150</v>
      </c>
      <c r="I157" s="110">
        <f t="shared" si="75"/>
        <v>162351</v>
      </c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97"/>
      <c r="B158" s="106"/>
      <c r="C158" s="106"/>
      <c r="D158" s="106"/>
      <c r="E158" s="106"/>
      <c r="F158" s="106"/>
      <c r="G158" s="106"/>
      <c r="H158" s="106"/>
      <c r="I158" s="106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5.75" customHeight="1">
      <c r="A159" s="97" t="s">
        <v>569</v>
      </c>
      <c r="B159" s="106">
        <f t="shared" ref="B159:I159" si="76">B155</f>
        <v>5757287</v>
      </c>
      <c r="C159" s="106">
        <f t="shared" si="76"/>
        <v>5227552</v>
      </c>
      <c r="D159" s="106">
        <f t="shared" si="76"/>
        <v>4660887</v>
      </c>
      <c r="E159" s="106">
        <f t="shared" si="76"/>
        <v>4082303</v>
      </c>
      <c r="F159" s="106">
        <f t="shared" si="76"/>
        <v>3206001</v>
      </c>
      <c r="G159" s="106">
        <f t="shared" si="76"/>
        <v>2384718</v>
      </c>
      <c r="H159" s="106">
        <f t="shared" si="76"/>
        <v>1733081</v>
      </c>
      <c r="I159" s="106">
        <f t="shared" si="76"/>
        <v>1062658</v>
      </c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5.75" customHeight="1">
      <c r="A160" s="97" t="s">
        <v>572</v>
      </c>
      <c r="B160" s="106">
        <f t="shared" ref="B160:I160" si="77">B41+B22+B43</f>
        <v>5110204</v>
      </c>
      <c r="C160" s="106">
        <f t="shared" si="77"/>
        <v>6691873</v>
      </c>
      <c r="D160" s="106">
        <f t="shared" si="77"/>
        <v>6717513</v>
      </c>
      <c r="E160" s="106">
        <f t="shared" si="77"/>
        <v>7372195</v>
      </c>
      <c r="F160" s="106">
        <f t="shared" si="77"/>
        <v>6304053</v>
      </c>
      <c r="G160" s="106">
        <f t="shared" si="77"/>
        <v>588287</v>
      </c>
      <c r="H160" s="106">
        <f t="shared" si="77"/>
        <v>808395</v>
      </c>
      <c r="I160" s="106">
        <f t="shared" si="77"/>
        <v>952264</v>
      </c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5.75" customHeight="1">
      <c r="A161" s="97" t="s">
        <v>570</v>
      </c>
      <c r="B161" s="106">
        <f t="shared" ref="B161:I161" si="78">B156</f>
        <v>8842950</v>
      </c>
      <c r="C161" s="106">
        <f t="shared" si="78"/>
        <v>9182852</v>
      </c>
      <c r="D161" s="106">
        <f t="shared" si="78"/>
        <v>9614947</v>
      </c>
      <c r="E161" s="106">
        <f t="shared" si="78"/>
        <v>9565702</v>
      </c>
      <c r="F161" s="106">
        <f t="shared" si="78"/>
        <v>7064989</v>
      </c>
      <c r="G161" s="106">
        <f t="shared" si="78"/>
        <v>2608097</v>
      </c>
      <c r="H161" s="106">
        <f t="shared" si="78"/>
        <v>1192931</v>
      </c>
      <c r="I161" s="106">
        <f t="shared" si="78"/>
        <v>900307</v>
      </c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5.75" customHeight="1">
      <c r="A162" s="81" t="s">
        <v>573</v>
      </c>
      <c r="B162" s="110">
        <f t="shared" ref="B162:I162" si="79">B159+B160-B161</f>
        <v>2024541</v>
      </c>
      <c r="C162" s="110">
        <f t="shared" si="79"/>
        <v>2736573</v>
      </c>
      <c r="D162" s="110">
        <f t="shared" si="79"/>
        <v>1763453</v>
      </c>
      <c r="E162" s="110">
        <f t="shared" si="79"/>
        <v>1888796</v>
      </c>
      <c r="F162" s="110">
        <f t="shared" si="79"/>
        <v>2445065</v>
      </c>
      <c r="G162" s="110">
        <f t="shared" si="79"/>
        <v>364908</v>
      </c>
      <c r="H162" s="110">
        <f t="shared" si="79"/>
        <v>1348545</v>
      </c>
      <c r="I162" s="110">
        <f t="shared" si="79"/>
        <v>1114615</v>
      </c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5.75" customHeight="1">
      <c r="A165" s="105" t="s">
        <v>458</v>
      </c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5.75" customHeight="1">
      <c r="A166" s="105" t="s">
        <v>574</v>
      </c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5.75" customHeight="1">
      <c r="A167" s="97" t="s">
        <v>575</v>
      </c>
      <c r="B167" s="106">
        <f t="shared" ref="B167:I167" si="80">B16-B15</f>
        <v>-995051</v>
      </c>
      <c r="C167" s="106">
        <f t="shared" si="80"/>
        <v>275118</v>
      </c>
      <c r="D167" s="106">
        <f t="shared" si="80"/>
        <v>2060399</v>
      </c>
      <c r="E167" s="106">
        <f t="shared" si="80"/>
        <v>2182471</v>
      </c>
      <c r="F167" s="106">
        <f t="shared" si="80"/>
        <v>4685843</v>
      </c>
      <c r="G167" s="106">
        <f t="shared" si="80"/>
        <v>1730035</v>
      </c>
      <c r="H167" s="106">
        <f t="shared" si="80"/>
        <v>773341</v>
      </c>
      <c r="I167" s="106" t="str">
        <f t="shared" si="80"/>
        <v>#ERROR!</v>
      </c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5.75" customHeight="1">
      <c r="A168" s="97" t="s">
        <v>576</v>
      </c>
      <c r="B168" s="106">
        <f t="shared" ref="B168:I168" si="81">B15</f>
        <v>14957139</v>
      </c>
      <c r="C168" s="106">
        <f t="shared" si="81"/>
        <v>14682021</v>
      </c>
      <c r="D168" s="106">
        <f t="shared" si="81"/>
        <v>12621622</v>
      </c>
      <c r="E168" s="106">
        <f t="shared" si="81"/>
        <v>10439151</v>
      </c>
      <c r="F168" s="106">
        <f t="shared" si="81"/>
        <v>5753308</v>
      </c>
      <c r="G168" s="106">
        <f t="shared" si="81"/>
        <v>4023273</v>
      </c>
      <c r="H168" s="106">
        <f t="shared" si="81"/>
        <v>3249932</v>
      </c>
      <c r="I168" s="106" t="str">
        <f t="shared" si="81"/>
        <v>#ERROR!</v>
      </c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5.75" customHeight="1">
      <c r="A169" s="81" t="s">
        <v>577</v>
      </c>
      <c r="B169" s="110">
        <f t="shared" ref="B169:I169" si="82">B167/B168</f>
        <v>-0.06652682709</v>
      </c>
      <c r="C169" s="110">
        <f t="shared" si="82"/>
        <v>0.01873842845</v>
      </c>
      <c r="D169" s="110">
        <f t="shared" si="82"/>
        <v>0.163243599</v>
      </c>
      <c r="E169" s="110">
        <f t="shared" si="82"/>
        <v>0.209065948</v>
      </c>
      <c r="F169" s="110">
        <f t="shared" si="82"/>
        <v>0.8144606546</v>
      </c>
      <c r="G169" s="110">
        <f t="shared" si="82"/>
        <v>0.4300068626</v>
      </c>
      <c r="H169" s="110">
        <f t="shared" si="82"/>
        <v>0.2379560557</v>
      </c>
      <c r="I169" s="110" t="str">
        <f t="shared" si="82"/>
        <v>#ERROR!</v>
      </c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97"/>
      <c r="B170" s="106"/>
      <c r="C170" s="106"/>
      <c r="D170" s="106"/>
      <c r="E170" s="106"/>
      <c r="F170" s="106"/>
      <c r="G170" s="106"/>
      <c r="H170" s="106"/>
      <c r="I170" s="106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5.75" customHeight="1">
      <c r="A171" s="97" t="s">
        <v>578</v>
      </c>
      <c r="B171" s="106">
        <f t="shared" ref="B171:I171" si="83">B48-B47</f>
        <v>529735</v>
      </c>
      <c r="C171" s="106">
        <f t="shared" si="83"/>
        <v>566665</v>
      </c>
      <c r="D171" s="106">
        <f t="shared" si="83"/>
        <v>578584</v>
      </c>
      <c r="E171" s="106">
        <f t="shared" si="83"/>
        <v>876302</v>
      </c>
      <c r="F171" s="106">
        <f t="shared" si="83"/>
        <v>821283</v>
      </c>
      <c r="G171" s="106">
        <f t="shared" si="83"/>
        <v>651637</v>
      </c>
      <c r="H171" s="106">
        <f t="shared" si="83"/>
        <v>670423</v>
      </c>
      <c r="I171" s="106" t="str">
        <f t="shared" si="83"/>
        <v>#ERROR!</v>
      </c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5.75" customHeight="1">
      <c r="A172" s="97" t="s">
        <v>579</v>
      </c>
      <c r="B172" s="106">
        <f t="shared" ref="B172:I172" si="84">B47</f>
        <v>5227552</v>
      </c>
      <c r="C172" s="106">
        <f t="shared" si="84"/>
        <v>4660887</v>
      </c>
      <c r="D172" s="106">
        <f t="shared" si="84"/>
        <v>4082303</v>
      </c>
      <c r="E172" s="106">
        <f t="shared" si="84"/>
        <v>3206001</v>
      </c>
      <c r="F172" s="106">
        <f t="shared" si="84"/>
        <v>2384718</v>
      </c>
      <c r="G172" s="106">
        <f t="shared" si="84"/>
        <v>1733081</v>
      </c>
      <c r="H172" s="106">
        <f t="shared" si="84"/>
        <v>1062658</v>
      </c>
      <c r="I172" s="106" t="str">
        <f t="shared" si="84"/>
        <v>#ERROR!</v>
      </c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5.75" customHeight="1">
      <c r="A173" s="81" t="s">
        <v>580</v>
      </c>
      <c r="B173" s="110">
        <f t="shared" ref="B173:I173" si="85">B171/B172</f>
        <v>0.1013351948</v>
      </c>
      <c r="C173" s="110">
        <f t="shared" si="85"/>
        <v>0.1215787896</v>
      </c>
      <c r="D173" s="110">
        <f t="shared" si="85"/>
        <v>0.141729803</v>
      </c>
      <c r="E173" s="110">
        <f t="shared" si="85"/>
        <v>0.2733317925</v>
      </c>
      <c r="F173" s="110">
        <f t="shared" si="85"/>
        <v>0.3443941799</v>
      </c>
      <c r="G173" s="110">
        <f t="shared" si="85"/>
        <v>0.3759991599</v>
      </c>
      <c r="H173" s="110">
        <f t="shared" si="85"/>
        <v>0.6308925355</v>
      </c>
      <c r="I173" s="110" t="str">
        <f t="shared" si="85"/>
        <v>#ERROR!</v>
      </c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97"/>
      <c r="B174" s="106"/>
      <c r="C174" s="106"/>
      <c r="D174" s="106"/>
      <c r="E174" s="106"/>
      <c r="F174" s="106"/>
      <c r="G174" s="106"/>
      <c r="H174" s="106"/>
      <c r="I174" s="106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5.75" customHeight="1">
      <c r="A175" s="97" t="s">
        <v>581</v>
      </c>
      <c r="B175" s="106">
        <f t="shared" ref="B175:I175" si="86">B167-B171</f>
        <v>-1524786</v>
      </c>
      <c r="C175" s="106">
        <f t="shared" si="86"/>
        <v>-291547</v>
      </c>
      <c r="D175" s="106">
        <f t="shared" si="86"/>
        <v>1481815</v>
      </c>
      <c r="E175" s="106">
        <f t="shared" si="86"/>
        <v>1306169</v>
      </c>
      <c r="F175" s="106">
        <f t="shared" si="86"/>
        <v>3864560</v>
      </c>
      <c r="G175" s="106">
        <f t="shared" si="86"/>
        <v>1078398</v>
      </c>
      <c r="H175" s="106">
        <f t="shared" si="86"/>
        <v>102918</v>
      </c>
      <c r="I175" s="106" t="str">
        <f t="shared" si="86"/>
        <v>#ERROR!</v>
      </c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5.75" customHeight="1">
      <c r="A176" s="97"/>
      <c r="B176" s="106"/>
      <c r="C176" s="106"/>
      <c r="D176" s="106"/>
      <c r="E176" s="106"/>
      <c r="F176" s="106"/>
      <c r="G176" s="106"/>
      <c r="H176" s="106"/>
      <c r="I176" s="106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5.75" customHeight="1">
      <c r="A177" s="97" t="s">
        <v>582</v>
      </c>
      <c r="B177" s="106">
        <f t="shared" ref="B177:I177" si="87">B175</f>
        <v>-1524786</v>
      </c>
      <c r="C177" s="106">
        <f t="shared" si="87"/>
        <v>-291547</v>
      </c>
      <c r="D177" s="106">
        <f t="shared" si="87"/>
        <v>1481815</v>
      </c>
      <c r="E177" s="106">
        <f t="shared" si="87"/>
        <v>1306169</v>
      </c>
      <c r="F177" s="106">
        <f t="shared" si="87"/>
        <v>3864560</v>
      </c>
      <c r="G177" s="106">
        <f t="shared" si="87"/>
        <v>1078398</v>
      </c>
      <c r="H177" s="106">
        <f t="shared" si="87"/>
        <v>102918</v>
      </c>
      <c r="I177" s="106" t="str">
        <f t="shared" si="87"/>
        <v>#ERROR!</v>
      </c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5.75" customHeight="1">
      <c r="A178" s="97" t="s">
        <v>583</v>
      </c>
      <c r="B178" s="106">
        <f t="shared" ref="B178:I178" si="88">B171</f>
        <v>529735</v>
      </c>
      <c r="C178" s="106">
        <f t="shared" si="88"/>
        <v>566665</v>
      </c>
      <c r="D178" s="106">
        <f t="shared" si="88"/>
        <v>578584</v>
      </c>
      <c r="E178" s="106">
        <f t="shared" si="88"/>
        <v>876302</v>
      </c>
      <c r="F178" s="106">
        <f t="shared" si="88"/>
        <v>821283</v>
      </c>
      <c r="G178" s="106">
        <f t="shared" si="88"/>
        <v>651637</v>
      </c>
      <c r="H178" s="106">
        <f t="shared" si="88"/>
        <v>670423</v>
      </c>
      <c r="I178" s="106" t="str">
        <f t="shared" si="88"/>
        <v>#ERROR!</v>
      </c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5.75" customHeight="1">
      <c r="A179" s="81" t="s">
        <v>584</v>
      </c>
      <c r="B179" s="110">
        <f t="shared" ref="B179:I179" si="89">B177/B178</f>
        <v>-2.878393914</v>
      </c>
      <c r="C179" s="110">
        <f t="shared" si="89"/>
        <v>-0.5144962191</v>
      </c>
      <c r="D179" s="110">
        <f t="shared" si="89"/>
        <v>2.56110608</v>
      </c>
      <c r="E179" s="110">
        <f t="shared" si="89"/>
        <v>1.490546638</v>
      </c>
      <c r="F179" s="110">
        <f t="shared" si="89"/>
        <v>4.705515638</v>
      </c>
      <c r="G179" s="110">
        <f t="shared" si="89"/>
        <v>1.654906029</v>
      </c>
      <c r="H179" s="110">
        <f t="shared" si="89"/>
        <v>0.1535120364</v>
      </c>
      <c r="I179" s="110" t="str">
        <f t="shared" si="89"/>
        <v>#ERROR!</v>
      </c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97"/>
      <c r="B180" s="106"/>
      <c r="C180" s="106"/>
      <c r="D180" s="106"/>
      <c r="E180" s="106"/>
      <c r="F180" s="106"/>
      <c r="G180" s="106"/>
      <c r="H180" s="106"/>
      <c r="I180" s="106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5.75" customHeight="1">
      <c r="A181" s="97" t="s">
        <v>585</v>
      </c>
      <c r="B181" s="106">
        <f t="shared" ref="B181:I181" si="90">B169-B173</f>
        <v>-0.1678620218</v>
      </c>
      <c r="C181" s="106">
        <f t="shared" si="90"/>
        <v>-0.1028403612</v>
      </c>
      <c r="D181" s="106">
        <f t="shared" si="90"/>
        <v>0.02151379595</v>
      </c>
      <c r="E181" s="106">
        <f t="shared" si="90"/>
        <v>-0.06426584449</v>
      </c>
      <c r="F181" s="106">
        <f t="shared" si="90"/>
        <v>0.4700664747</v>
      </c>
      <c r="G181" s="106">
        <f t="shared" si="90"/>
        <v>0.05400770269</v>
      </c>
      <c r="H181" s="106">
        <f t="shared" si="90"/>
        <v>-0.3929364798</v>
      </c>
      <c r="I181" s="106" t="str">
        <f t="shared" si="90"/>
        <v>#ERROR!</v>
      </c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5.75" customHeight="1">
      <c r="A182" s="97"/>
      <c r="B182" s="106"/>
      <c r="C182" s="106"/>
      <c r="D182" s="106"/>
      <c r="E182" s="106"/>
      <c r="F182" s="106"/>
      <c r="G182" s="106"/>
      <c r="H182" s="106"/>
      <c r="I182" s="106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5.75" customHeight="1">
      <c r="A183" s="97"/>
      <c r="B183" s="106"/>
      <c r="C183" s="106"/>
      <c r="D183" s="106"/>
      <c r="E183" s="106"/>
      <c r="F183" s="106"/>
      <c r="G183" s="106"/>
      <c r="H183" s="106"/>
      <c r="I183" s="106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5.75" customHeight="1">
      <c r="A184" s="108" t="s">
        <v>586</v>
      </c>
      <c r="B184" s="106"/>
      <c r="C184" s="106"/>
      <c r="D184" s="106"/>
      <c r="E184" s="106"/>
      <c r="F184" s="106"/>
      <c r="G184" s="106"/>
      <c r="H184" s="106"/>
      <c r="I184" s="106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5.75" customHeight="1">
      <c r="A185" s="97" t="s">
        <v>587</v>
      </c>
      <c r="B185" s="106">
        <f t="shared" ref="B185:I185" si="91">(B7-B8)/B8</f>
        <v>0.02405612497</v>
      </c>
      <c r="C185" s="106">
        <f t="shared" si="91"/>
        <v>0.1863558803</v>
      </c>
      <c r="D185" s="106">
        <f t="shared" si="91"/>
        <v>0.1395882483</v>
      </c>
      <c r="E185" s="106">
        <f t="shared" si="91"/>
        <v>0.09077840442</v>
      </c>
      <c r="F185" s="106">
        <f t="shared" si="91"/>
        <v>0.05806038191</v>
      </c>
      <c r="G185" s="106">
        <f t="shared" si="91"/>
        <v>0.1762862655</v>
      </c>
      <c r="H185" s="106">
        <f t="shared" si="91"/>
        <v>0.1615446116</v>
      </c>
      <c r="I185" s="106" t="str">
        <f t="shared" si="91"/>
        <v>#ERROR!</v>
      </c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5.75" customHeight="1">
      <c r="A186" s="97" t="s">
        <v>588</v>
      </c>
      <c r="B186" s="106">
        <f t="shared" ref="B186:I186" si="92">B167/(B7-B8)</f>
        <v>-1.956435655</v>
      </c>
      <c r="C186" s="106">
        <f t="shared" si="92"/>
        <v>0.08283937079</v>
      </c>
      <c r="D186" s="106">
        <f t="shared" si="92"/>
        <v>0.9438681296</v>
      </c>
      <c r="E186" s="106">
        <f t="shared" si="92"/>
        <v>1.676916032</v>
      </c>
      <c r="F186" s="106">
        <f t="shared" si="92"/>
        <v>5.95612328</v>
      </c>
      <c r="G186" s="106">
        <f t="shared" si="92"/>
        <v>0.8519326662</v>
      </c>
      <c r="H186" s="106">
        <f t="shared" si="92"/>
        <v>0.4827066843</v>
      </c>
      <c r="I186" s="106" t="str">
        <f t="shared" si="92"/>
        <v>#ERROR!</v>
      </c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5.75" customHeight="1">
      <c r="A187" s="97" t="s">
        <v>589</v>
      </c>
      <c r="B187" s="106">
        <f t="shared" ref="B187:I187" si="93">B8/B15</f>
        <v>1.413531759</v>
      </c>
      <c r="C187" s="106">
        <f t="shared" si="93"/>
        <v>1.213817158</v>
      </c>
      <c r="D187" s="106">
        <f t="shared" si="93"/>
        <v>1.239013338</v>
      </c>
      <c r="E187" s="106">
        <f t="shared" si="93"/>
        <v>1.373375957</v>
      </c>
      <c r="F187" s="106">
        <f t="shared" si="93"/>
        <v>2.355193221</v>
      </c>
      <c r="G187" s="106">
        <f t="shared" si="93"/>
        <v>2.863199688</v>
      </c>
      <c r="H187" s="106">
        <f t="shared" si="93"/>
        <v>3.051553386</v>
      </c>
      <c r="I187" s="106" t="str">
        <f t="shared" si="93"/>
        <v>#ERROR!</v>
      </c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5.75" customHeight="1">
      <c r="A188" s="81" t="s">
        <v>590</v>
      </c>
      <c r="B188" s="110">
        <f t="shared" ref="B188:I188" si="94">B185*B186*B187</f>
        <v>-0.06652682709</v>
      </c>
      <c r="C188" s="110">
        <f t="shared" si="94"/>
        <v>0.01873842845</v>
      </c>
      <c r="D188" s="110">
        <f t="shared" si="94"/>
        <v>0.163243599</v>
      </c>
      <c r="E188" s="110">
        <f t="shared" si="94"/>
        <v>0.209065948</v>
      </c>
      <c r="F188" s="110">
        <f t="shared" si="94"/>
        <v>0.8144606546</v>
      </c>
      <c r="G188" s="110">
        <f t="shared" si="94"/>
        <v>0.4300068626</v>
      </c>
      <c r="H188" s="110">
        <f t="shared" si="94"/>
        <v>0.2379560557</v>
      </c>
      <c r="I188" s="110" t="str">
        <f t="shared" si="94"/>
        <v>#ERROR!</v>
      </c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97" t="s">
        <v>591</v>
      </c>
      <c r="B189" s="106">
        <f t="shared" ref="B189:I189" si="95">B167/B168</f>
        <v>-0.06652682709</v>
      </c>
      <c r="C189" s="106">
        <f t="shared" si="95"/>
        <v>0.01873842845</v>
      </c>
      <c r="D189" s="106">
        <f t="shared" si="95"/>
        <v>0.163243599</v>
      </c>
      <c r="E189" s="106">
        <f t="shared" si="95"/>
        <v>0.209065948</v>
      </c>
      <c r="F189" s="106">
        <f t="shared" si="95"/>
        <v>0.8144606546</v>
      </c>
      <c r="G189" s="106">
        <f t="shared" si="95"/>
        <v>0.4300068626</v>
      </c>
      <c r="H189" s="106">
        <f t="shared" si="95"/>
        <v>0.2379560557</v>
      </c>
      <c r="I189" s="106" t="str">
        <f t="shared" si="95"/>
        <v>#ERROR!</v>
      </c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5.75" customHeight="1">
      <c r="A190" s="97" t="s">
        <v>592</v>
      </c>
      <c r="B190" s="106">
        <f t="shared" ref="B190:I190" si="96">B188-B189</f>
        <v>0</v>
      </c>
      <c r="C190" s="106">
        <f t="shared" si="96"/>
        <v>0</v>
      </c>
      <c r="D190" s="106">
        <f t="shared" si="96"/>
        <v>0</v>
      </c>
      <c r="E190" s="106">
        <f t="shared" si="96"/>
        <v>0</v>
      </c>
      <c r="F190" s="106">
        <f t="shared" si="96"/>
        <v>0</v>
      </c>
      <c r="G190" s="106">
        <f t="shared" si="96"/>
        <v>0</v>
      </c>
      <c r="H190" s="106">
        <f t="shared" si="96"/>
        <v>0</v>
      </c>
      <c r="I190" s="106" t="str">
        <f t="shared" si="96"/>
        <v>#ERROR!</v>
      </c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5.75" customHeight="1">
      <c r="A191" s="97"/>
      <c r="B191" s="106"/>
      <c r="C191" s="106"/>
      <c r="D191" s="106"/>
      <c r="E191" s="106"/>
      <c r="F191" s="106"/>
      <c r="G191" s="106"/>
      <c r="H191" s="106"/>
      <c r="I191" s="106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5.75" customHeight="1">
      <c r="A192" s="108" t="s">
        <v>593</v>
      </c>
      <c r="B192" s="106"/>
      <c r="C192" s="106"/>
      <c r="D192" s="106"/>
      <c r="E192" s="106"/>
      <c r="F192" s="106"/>
      <c r="G192" s="106"/>
      <c r="H192" s="106"/>
      <c r="I192" s="106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5.75" customHeight="1">
      <c r="A193" s="97" t="s">
        <v>594</v>
      </c>
      <c r="B193" s="106">
        <f t="shared" ref="B193:I193" si="97">B6/B47</f>
        <v>0.1721136394</v>
      </c>
      <c r="C193" s="106">
        <f t="shared" si="97"/>
        <v>0.1215792187</v>
      </c>
      <c r="D193" s="106">
        <f t="shared" si="97"/>
        <v>0.166225045</v>
      </c>
      <c r="E193" s="106">
        <f t="shared" si="97"/>
        <v>0.2998448846</v>
      </c>
      <c r="F193" s="106">
        <f t="shared" si="97"/>
        <v>0.38632744</v>
      </c>
      <c r="G193" s="106">
        <f t="shared" si="97"/>
        <v>0.4336992905</v>
      </c>
      <c r="H193" s="106">
        <f t="shared" si="97"/>
        <v>0.6308944176</v>
      </c>
      <c r="I193" s="106" t="str">
        <f t="shared" si="97"/>
        <v>#ERROR!</v>
      </c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5.75" customHeight="1">
      <c r="A194" s="97" t="s">
        <v>595</v>
      </c>
      <c r="B194" s="106">
        <f t="shared" ref="B194:I194" si="98">B49/B6</f>
        <v>0.4112308874</v>
      </c>
      <c r="C194" s="106">
        <f t="shared" si="98"/>
        <v>0.000003529409689</v>
      </c>
      <c r="D194" s="106">
        <f t="shared" si="98"/>
        <v>0.1473619214</v>
      </c>
      <c r="E194" s="106">
        <f t="shared" si="98"/>
        <v>0.08842269295</v>
      </c>
      <c r="F194" s="106">
        <f t="shared" si="98"/>
        <v>0.1085433125</v>
      </c>
      <c r="G194" s="106">
        <f t="shared" si="98"/>
        <v>0.1330417915</v>
      </c>
      <c r="H194" s="106">
        <f t="shared" si="98"/>
        <v>0.00000298318231</v>
      </c>
      <c r="I194" s="106" t="str">
        <f t="shared" si="98"/>
        <v>#ERROR!</v>
      </c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5.75" customHeight="1">
      <c r="A195" s="97" t="s">
        <v>596</v>
      </c>
      <c r="B195" s="106">
        <f t="shared" ref="B195:I195" si="99">B193*(1-B194)</f>
        <v>0.1013351948</v>
      </c>
      <c r="C195" s="106">
        <f t="shared" si="99"/>
        <v>0.1215787896</v>
      </c>
      <c r="D195" s="106">
        <f t="shared" si="99"/>
        <v>0.141729803</v>
      </c>
      <c r="E195" s="106">
        <f t="shared" si="99"/>
        <v>0.2733317925</v>
      </c>
      <c r="F195" s="106">
        <f t="shared" si="99"/>
        <v>0.3443941799</v>
      </c>
      <c r="G195" s="106">
        <f t="shared" si="99"/>
        <v>0.3759991599</v>
      </c>
      <c r="H195" s="106">
        <f t="shared" si="99"/>
        <v>0.6308925355</v>
      </c>
      <c r="I195" s="106" t="str">
        <f t="shared" si="99"/>
        <v>#ERROR!</v>
      </c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97" t="s">
        <v>597</v>
      </c>
      <c r="B196" s="106">
        <f t="shared" ref="B196:I196" si="100">B50/B6</f>
        <v>0</v>
      </c>
      <c r="C196" s="106">
        <f t="shared" si="100"/>
        <v>0</v>
      </c>
      <c r="D196" s="106">
        <f t="shared" si="100"/>
        <v>0</v>
      </c>
      <c r="E196" s="106">
        <f t="shared" si="100"/>
        <v>0</v>
      </c>
      <c r="F196" s="106">
        <f t="shared" si="100"/>
        <v>0</v>
      </c>
      <c r="G196" s="106">
        <f t="shared" si="100"/>
        <v>0</v>
      </c>
      <c r="H196" s="106">
        <f t="shared" si="100"/>
        <v>0</v>
      </c>
      <c r="I196" s="106" t="str">
        <f t="shared" si="100"/>
        <v>#ERROR!</v>
      </c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81" t="s">
        <v>598</v>
      </c>
      <c r="B197" s="110">
        <f t="shared" ref="B197:I197" si="101">B193*(1-B194+B196)</f>
        <v>0.1013351948</v>
      </c>
      <c r="C197" s="110">
        <f t="shared" si="101"/>
        <v>0.1215787896</v>
      </c>
      <c r="D197" s="110">
        <f t="shared" si="101"/>
        <v>0.141729803</v>
      </c>
      <c r="E197" s="110">
        <f t="shared" si="101"/>
        <v>0.2733317925</v>
      </c>
      <c r="F197" s="110">
        <f t="shared" si="101"/>
        <v>0.3443941799</v>
      </c>
      <c r="G197" s="110">
        <f t="shared" si="101"/>
        <v>0.3759991599</v>
      </c>
      <c r="H197" s="110">
        <f t="shared" si="101"/>
        <v>0.6308925355</v>
      </c>
      <c r="I197" s="110" t="str">
        <f t="shared" si="101"/>
        <v>#ERROR!</v>
      </c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97" t="s">
        <v>599</v>
      </c>
      <c r="B198" s="106">
        <f t="shared" ref="B198:I198" si="102">B173</f>
        <v>0.1013351948</v>
      </c>
      <c r="C198" s="106">
        <f t="shared" si="102"/>
        <v>0.1215787896</v>
      </c>
      <c r="D198" s="106">
        <f t="shared" si="102"/>
        <v>0.141729803</v>
      </c>
      <c r="E198" s="106">
        <f t="shared" si="102"/>
        <v>0.2733317925</v>
      </c>
      <c r="F198" s="106">
        <f t="shared" si="102"/>
        <v>0.3443941799</v>
      </c>
      <c r="G198" s="106">
        <f t="shared" si="102"/>
        <v>0.3759991599</v>
      </c>
      <c r="H198" s="106">
        <f t="shared" si="102"/>
        <v>0.6308925355</v>
      </c>
      <c r="I198" s="106" t="str">
        <f t="shared" si="102"/>
        <v>#ERROR!</v>
      </c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97" t="s">
        <v>592</v>
      </c>
      <c r="B199" s="106">
        <f t="shared" ref="B199:I199" si="103">B197-B198</f>
        <v>0</v>
      </c>
      <c r="C199" s="106">
        <f t="shared" si="103"/>
        <v>0</v>
      </c>
      <c r="D199" s="106">
        <f t="shared" si="103"/>
        <v>0</v>
      </c>
      <c r="E199" s="106">
        <f t="shared" si="103"/>
        <v>0</v>
      </c>
      <c r="F199" s="106">
        <f t="shared" si="103"/>
        <v>0</v>
      </c>
      <c r="G199" s="106">
        <f t="shared" si="103"/>
        <v>0</v>
      </c>
      <c r="H199" s="106">
        <f t="shared" si="103"/>
        <v>0</v>
      </c>
      <c r="I199" s="106" t="str">
        <f t="shared" si="103"/>
        <v>#ERROR!</v>
      </c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97"/>
      <c r="B200" s="106"/>
      <c r="C200" s="106"/>
      <c r="D200" s="106"/>
      <c r="E200" s="106"/>
      <c r="F200" s="106"/>
      <c r="G200" s="106"/>
      <c r="H200" s="106"/>
      <c r="I200" s="106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97" t="s">
        <v>600</v>
      </c>
      <c r="B201" s="106"/>
      <c r="C201" s="106"/>
      <c r="D201" s="106"/>
      <c r="E201" s="106"/>
      <c r="F201" s="106"/>
      <c r="G201" s="106"/>
      <c r="H201" s="106"/>
      <c r="I201" s="106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97" t="s">
        <v>601</v>
      </c>
      <c r="B202" s="106">
        <f t="shared" ref="B202:I202" si="104">B24</f>
        <v>9025896</v>
      </c>
      <c r="C202" s="106">
        <f t="shared" si="104"/>
        <v>9934062.5</v>
      </c>
      <c r="D202" s="106">
        <f t="shared" si="104"/>
        <v>9338928.5</v>
      </c>
      <c r="E202" s="106">
        <f t="shared" si="104"/>
        <v>7918841.5</v>
      </c>
      <c r="F202" s="106">
        <f t="shared" si="104"/>
        <v>5307382</v>
      </c>
      <c r="G202" s="106">
        <f t="shared" si="104"/>
        <v>2835903</v>
      </c>
      <c r="H202" s="106">
        <f t="shared" si="104"/>
        <v>2245245</v>
      </c>
      <c r="I202" s="106" t="str">
        <f t="shared" si="104"/>
        <v>#ERROR!</v>
      </c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97" t="s">
        <v>602</v>
      </c>
      <c r="B203" s="106">
        <f t="shared" ref="B203:I203" si="105">B48</f>
        <v>5757287</v>
      </c>
      <c r="C203" s="106">
        <f t="shared" si="105"/>
        <v>5227552</v>
      </c>
      <c r="D203" s="106">
        <f t="shared" si="105"/>
        <v>4660887</v>
      </c>
      <c r="E203" s="106">
        <f t="shared" si="105"/>
        <v>4082303</v>
      </c>
      <c r="F203" s="106">
        <f t="shared" si="105"/>
        <v>3206001</v>
      </c>
      <c r="G203" s="106">
        <f t="shared" si="105"/>
        <v>2384718</v>
      </c>
      <c r="H203" s="106">
        <f t="shared" si="105"/>
        <v>1733081</v>
      </c>
      <c r="I203" s="106">
        <f t="shared" si="105"/>
        <v>1062658</v>
      </c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81" t="s">
        <v>603</v>
      </c>
      <c r="B204" s="110">
        <f t="shared" ref="B204:I204" si="106">B202/B203</f>
        <v>1.567734247</v>
      </c>
      <c r="C204" s="110">
        <f t="shared" si="106"/>
        <v>1.900327821</v>
      </c>
      <c r="D204" s="110">
        <f t="shared" si="106"/>
        <v>2.003680523</v>
      </c>
      <c r="E204" s="110">
        <f t="shared" si="106"/>
        <v>1.939797585</v>
      </c>
      <c r="F204" s="110">
        <f t="shared" si="106"/>
        <v>1.655452384</v>
      </c>
      <c r="G204" s="110">
        <f t="shared" si="106"/>
        <v>1.189198471</v>
      </c>
      <c r="H204" s="110">
        <f t="shared" si="106"/>
        <v>1.295522252</v>
      </c>
      <c r="I204" s="110" t="str">
        <f t="shared" si="106"/>
        <v>#ERROR!</v>
      </c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97"/>
      <c r="B205" s="106"/>
      <c r="C205" s="106"/>
      <c r="D205" s="106"/>
      <c r="E205" s="106"/>
      <c r="F205" s="106"/>
      <c r="G205" s="106"/>
      <c r="H205" s="106"/>
      <c r="I205" s="106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97" t="s">
        <v>604</v>
      </c>
      <c r="B206" s="106">
        <f t="shared" ref="B206:I206" si="107">B175/B48</f>
        <v>-0.2648445353</v>
      </c>
      <c r="C206" s="106">
        <f t="shared" si="107"/>
        <v>-0.05577122906</v>
      </c>
      <c r="D206" s="106">
        <f t="shared" si="107"/>
        <v>0.3179255365</v>
      </c>
      <c r="E206" s="106">
        <f t="shared" si="107"/>
        <v>0.3199588566</v>
      </c>
      <c r="F206" s="106">
        <f t="shared" si="107"/>
        <v>1.205414471</v>
      </c>
      <c r="G206" s="106">
        <f t="shared" si="107"/>
        <v>0.4522119597</v>
      </c>
      <c r="H206" s="106">
        <f t="shared" si="107"/>
        <v>0.05938441423</v>
      </c>
      <c r="I206" s="106" t="str">
        <f t="shared" si="107"/>
        <v>#ERROR!</v>
      </c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97" t="s">
        <v>605</v>
      </c>
      <c r="B207" s="106">
        <f t="shared" ref="B207:I207" si="108">B169-B173</f>
        <v>-0.1678620218</v>
      </c>
      <c r="C207" s="106">
        <f t="shared" si="108"/>
        <v>-0.1028403612</v>
      </c>
      <c r="D207" s="106">
        <f t="shared" si="108"/>
        <v>0.02151379595</v>
      </c>
      <c r="E207" s="106">
        <f t="shared" si="108"/>
        <v>-0.06426584449</v>
      </c>
      <c r="F207" s="106">
        <f t="shared" si="108"/>
        <v>0.4700664747</v>
      </c>
      <c r="G207" s="106">
        <f t="shared" si="108"/>
        <v>0.05400770269</v>
      </c>
      <c r="H207" s="106">
        <f t="shared" si="108"/>
        <v>-0.3929364798</v>
      </c>
      <c r="I207" s="106" t="str">
        <f t="shared" si="108"/>
        <v>#ERROR!</v>
      </c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5.75" customHeight="1">
      <c r="A208" s="97"/>
      <c r="B208" s="106"/>
      <c r="C208" s="106"/>
      <c r="D208" s="106"/>
      <c r="E208" s="106"/>
      <c r="F208" s="106"/>
      <c r="G208" s="106"/>
      <c r="H208" s="106"/>
      <c r="I208" s="106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5.75" customHeight="1">
      <c r="A209" s="97" t="s">
        <v>606</v>
      </c>
      <c r="B209" s="106"/>
      <c r="C209" s="106"/>
      <c r="D209" s="106"/>
      <c r="E209" s="106"/>
      <c r="F209" s="106"/>
      <c r="G209" s="106"/>
      <c r="H209" s="106"/>
      <c r="I209" s="106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81" t="s">
        <v>607</v>
      </c>
      <c r="B210" s="106">
        <f>'RC'!C94-'RC'!D94</f>
        <v>0</v>
      </c>
      <c r="C210" s="106">
        <f>'RC'!D94-'RC'!E94</f>
        <v>0</v>
      </c>
      <c r="D210" s="106">
        <f>'RC'!E94-'RC'!F94</f>
        <v>0</v>
      </c>
      <c r="E210" s="106">
        <f>'RC'!F94-'RC'!G94</f>
        <v>52190</v>
      </c>
      <c r="F210" s="106">
        <f>'RC'!G94-'RC'!H94</f>
        <v>0</v>
      </c>
      <c r="G210" s="106">
        <f>'RC'!H94-'RC'!I94</f>
        <v>0</v>
      </c>
      <c r="H210" s="106">
        <f>'RC'!I94-'RC'!J94</f>
        <v>0</v>
      </c>
      <c r="I210" s="106" t="str">
        <f>'RC'!I94-'RC'!#REF!</f>
        <v>#ERROR!</v>
      </c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81" t="s">
        <v>608</v>
      </c>
      <c r="B211" s="106">
        <f>'RC'!D94</f>
        <v>58702</v>
      </c>
      <c r="C211" s="106">
        <f>'RC'!E94</f>
        <v>58702</v>
      </c>
      <c r="D211" s="106">
        <f>'RC'!F94</f>
        <v>58702</v>
      </c>
      <c r="E211" s="106">
        <f>'RC'!G94</f>
        <v>6512</v>
      </c>
      <c r="F211" s="106">
        <f>'RC'!H94</f>
        <v>6512</v>
      </c>
      <c r="G211" s="106">
        <f>'RC'!I94</f>
        <v>6512</v>
      </c>
      <c r="H211" s="106">
        <f>'RC'!J94</f>
        <v>6512</v>
      </c>
      <c r="I211" s="106" t="str">
        <f>'RC'!#REF!</f>
        <v>#ERROR!</v>
      </c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81" t="s">
        <v>606</v>
      </c>
      <c r="B212" s="110">
        <f>('RC'!C94-'RC'!D94)/'RC'!D94</f>
        <v>0</v>
      </c>
      <c r="C212" s="110">
        <f>('RC'!D94-'RC'!E94)/'RC'!E94</f>
        <v>0</v>
      </c>
      <c r="D212" s="110">
        <f>('RC'!E94-'RC'!F94)/'RC'!F94</f>
        <v>0</v>
      </c>
      <c r="E212" s="110">
        <f>('RC'!F94-'RC'!G94)/'RC'!G94</f>
        <v>8.014434889</v>
      </c>
      <c r="F212" s="110">
        <f>('RC'!G94-'RC'!H94)/'RC'!H94</f>
        <v>0</v>
      </c>
      <c r="G212" s="110">
        <f>('RC'!H94-'RC'!I94)/'RC'!I94</f>
        <v>0</v>
      </c>
      <c r="H212" s="110">
        <f>('RC'!I94-'RC'!J94)/'RC'!J94</f>
        <v>0</v>
      </c>
      <c r="I212" s="110" t="str">
        <f>('RC'!I94-'RC'!#REF!)/'RC'!#REF!</f>
        <v>#ERROR!</v>
      </c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5.75" customHeight="1">
      <c r="A215" s="105" t="s">
        <v>458</v>
      </c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5.75" customHeight="1">
      <c r="A216" s="105" t="s">
        <v>609</v>
      </c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5.75" customHeight="1">
      <c r="A217" s="97" t="s">
        <v>461</v>
      </c>
      <c r="B217" s="106">
        <f t="shared" ref="B217:I217" si="109">B4</f>
        <v>1588849</v>
      </c>
      <c r="C217" s="106">
        <f t="shared" si="109"/>
        <v>1117327</v>
      </c>
      <c r="D217" s="106">
        <f t="shared" si="109"/>
        <v>963975</v>
      </c>
      <c r="E217" s="106">
        <f t="shared" si="109"/>
        <v>1411257</v>
      </c>
      <c r="F217" s="106">
        <f t="shared" si="109"/>
        <v>1351726</v>
      </c>
      <c r="G217" s="106">
        <f t="shared" si="109"/>
        <v>1069627</v>
      </c>
      <c r="H217" s="106">
        <f t="shared" si="109"/>
        <v>1052950</v>
      </c>
      <c r="I217" s="106">
        <f t="shared" si="109"/>
        <v>635847</v>
      </c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5.75" customHeight="1">
      <c r="A218" s="97" t="s">
        <v>610</v>
      </c>
      <c r="B218" s="106">
        <f t="shared" ref="B218:I218" si="110">-B27</f>
        <v>503404</v>
      </c>
      <c r="C218" s="106">
        <f t="shared" si="110"/>
        <v>528343</v>
      </c>
      <c r="D218" s="106">
        <f t="shared" si="110"/>
        <v>253674</v>
      </c>
      <c r="E218" s="106">
        <f t="shared" si="110"/>
        <v>207408</v>
      </c>
      <c r="F218" s="106">
        <f t="shared" si="110"/>
        <v>159160</v>
      </c>
      <c r="G218" s="106">
        <f t="shared" si="110"/>
        <v>102930</v>
      </c>
      <c r="H218" s="106">
        <f t="shared" si="110"/>
        <v>102001</v>
      </c>
      <c r="I218" s="106">
        <f t="shared" si="110"/>
        <v>102507</v>
      </c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5.75" customHeight="1">
      <c r="A219" s="81" t="s">
        <v>611</v>
      </c>
      <c r="B219" s="110">
        <f t="shared" ref="B219:I219" si="111">B217/B218</f>
        <v>3.156210519</v>
      </c>
      <c r="C219" s="110">
        <f t="shared" si="111"/>
        <v>2.114775818</v>
      </c>
      <c r="D219" s="110">
        <f t="shared" si="111"/>
        <v>3.800054401</v>
      </c>
      <c r="E219" s="110">
        <f t="shared" si="111"/>
        <v>6.804255381</v>
      </c>
      <c r="F219" s="110">
        <f t="shared" si="111"/>
        <v>8.492875094</v>
      </c>
      <c r="G219" s="110">
        <f t="shared" si="111"/>
        <v>10.39179054</v>
      </c>
      <c r="H219" s="110">
        <f t="shared" si="111"/>
        <v>10.32293801</v>
      </c>
      <c r="I219" s="110">
        <f t="shared" si="111"/>
        <v>6.202961749</v>
      </c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97"/>
      <c r="B220" s="106"/>
      <c r="C220" s="106"/>
      <c r="D220" s="106"/>
      <c r="E220" s="106"/>
      <c r="F220" s="106"/>
      <c r="G220" s="106"/>
      <c r="H220" s="106"/>
      <c r="I220" s="106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97" t="s">
        <v>612</v>
      </c>
      <c r="B221" s="106">
        <f t="shared" ref="B221:I221" si="112">B25</f>
        <v>9025896</v>
      </c>
      <c r="C221" s="106">
        <f t="shared" si="112"/>
        <v>9934062.5</v>
      </c>
      <c r="D221" s="106">
        <f t="shared" si="112"/>
        <v>9338928.5</v>
      </c>
      <c r="E221" s="106">
        <f t="shared" si="112"/>
        <v>7918841.5</v>
      </c>
      <c r="F221" s="106">
        <f t="shared" si="112"/>
        <v>5307382</v>
      </c>
      <c r="G221" s="106">
        <f t="shared" si="112"/>
        <v>2835903</v>
      </c>
      <c r="H221" s="106">
        <f t="shared" si="112"/>
        <v>2245245</v>
      </c>
      <c r="I221" s="106" t="str">
        <f t="shared" si="112"/>
        <v>#ERROR!</v>
      </c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5.75" customHeight="1">
      <c r="A222" s="97" t="s">
        <v>613</v>
      </c>
      <c r="B222" s="106">
        <f t="shared" ref="B222:I222" si="113">B5</f>
        <v>2481804</v>
      </c>
      <c r="C222" s="106">
        <f t="shared" si="113"/>
        <v>1835259</v>
      </c>
      <c r="D222" s="106">
        <f t="shared" si="113"/>
        <v>1706003</v>
      </c>
      <c r="E222" s="106">
        <f t="shared" si="113"/>
        <v>1926582</v>
      </c>
      <c r="F222" s="106">
        <f t="shared" si="113"/>
        <v>1540277</v>
      </c>
      <c r="G222" s="106">
        <f t="shared" si="113"/>
        <v>1357618</v>
      </c>
      <c r="H222" s="106">
        <f t="shared" si="113"/>
        <v>1405132</v>
      </c>
      <c r="I222" s="106">
        <f t="shared" si="113"/>
        <v>1124651</v>
      </c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5.75" customHeight="1">
      <c r="A223" s="81" t="s">
        <v>614</v>
      </c>
      <c r="B223" s="110">
        <f t="shared" ref="B223:I223" si="114">B221/B222</f>
        <v>3.636828694</v>
      </c>
      <c r="C223" s="110">
        <f t="shared" si="114"/>
        <v>5.412894038</v>
      </c>
      <c r="D223" s="110">
        <f t="shared" si="114"/>
        <v>5.474157138</v>
      </c>
      <c r="E223" s="110">
        <f t="shared" si="114"/>
        <v>4.110305972</v>
      </c>
      <c r="F223" s="110">
        <f t="shared" si="114"/>
        <v>3.445732164</v>
      </c>
      <c r="G223" s="110">
        <f t="shared" si="114"/>
        <v>2.088881408</v>
      </c>
      <c r="H223" s="110">
        <f t="shared" si="114"/>
        <v>1.597889024</v>
      </c>
      <c r="I223" s="110" t="str">
        <f t="shared" si="114"/>
        <v>#ERROR!</v>
      </c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conditionalFormatting sqref="B58:I223">
    <cfRule type="cellIs" dxfId="0" priority="1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9.38"/>
  </cols>
  <sheetData>
    <row r="1" ht="12.75" customHeight="1"/>
    <row r="2" ht="12.75" customHeight="1"/>
    <row r="3" ht="24.75" customHeight="1">
      <c r="B3" s="111" t="s">
        <v>511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24.75" customHeight="1">
      <c r="B80" s="111" t="s">
        <v>545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24.75" customHeight="1">
      <c r="B135" s="111" t="s">
        <v>562</v>
      </c>
    </row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24.75" customHeight="1">
      <c r="B218" s="111" t="s">
        <v>609</v>
      </c>
    </row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fitToHeight="0" paperSize="9" orientation="landscape"/>
  <drawing r:id="rId1"/>
</worksheet>
</file>